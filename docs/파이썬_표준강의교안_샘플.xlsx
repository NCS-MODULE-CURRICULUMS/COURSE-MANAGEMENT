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작성안내" sheetId="1" state="visible" r:id="rId3"/>
    <sheet name="교과개요" sheetId="2" state="visible" r:id="rId4"/>
    <sheet name="NCS매핑" sheetId="3" state="visible" r:id="rId5"/>
    <sheet name="주차별계획" sheetId="4" state="visible" r:id="rId6"/>
    <sheet name="차시별지도안" sheetId="5" state="visible" r:id="rId7"/>
    <sheet name="평가계획" sheetId="6" state="visible" r:id="rId8"/>
    <sheet name="훈련생안내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1" authorId="0">
      <text>
        <r>
          <rPr>
            <sz val="10"/>
            <rFont val="Arial"/>
            <family val="2"/>
          </rPr>
          <t xml:space="preserve">KDT·</t>
        </r>
        <r>
          <rPr>
            <sz val="10"/>
            <rFont val="Noto Sans CJK SC"/>
            <family val="2"/>
          </rPr>
          <t xml:space="preserve">실무형 과정은 실습 비율 </t>
        </r>
        <r>
          <rPr>
            <sz val="10"/>
            <rFont val="Arial"/>
            <family val="2"/>
          </rPr>
          <t xml:space="preserve">50% </t>
        </r>
        <r>
          <rPr>
            <sz val="10"/>
            <rFont val="Noto Sans CJK SC"/>
            <family val="2"/>
          </rPr>
          <t xml:space="preserve">이상 권장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Noto Sans CJK SC"/>
            <family val="2"/>
          </rPr>
          <t xml:space="preserve">기관 내부 기준</t>
        </r>
        <r>
          <rPr>
            <sz val="10"/>
            <rFont val="Arial"/>
            <family val="2"/>
          </rPr>
          <t xml:space="preserve">).</t>
        </r>
      </text>
    </comment>
  </commentList>
</comments>
</file>

<file path=xl/sharedStrings.xml><?xml version="1.0" encoding="utf-8"?>
<sst xmlns="http://schemas.openxmlformats.org/spreadsheetml/2006/main" count="675" uniqueCount="513">
  <si>
    <r>
      <rPr>
        <b val="true"/>
        <sz val="16"/>
        <color rgb="FF1F3864"/>
        <rFont val="Noto Sans CJK SC"/>
        <family val="2"/>
      </rPr>
      <t xml:space="preserve">표준 강의 교안</t>
    </r>
    <r>
      <rPr>
        <b val="true"/>
        <sz val="16"/>
        <color rgb="FF1F3864"/>
        <rFont val="맑은 고딕"/>
        <family val="0"/>
        <charset val="1"/>
      </rPr>
      <t xml:space="preserve">(</t>
    </r>
    <r>
      <rPr>
        <b val="true"/>
        <sz val="16"/>
        <color rgb="FF1F3864"/>
        <rFont val="Noto Sans CJK SC"/>
        <family val="2"/>
      </rPr>
      <t xml:space="preserve">교과목 운영계획서</t>
    </r>
    <r>
      <rPr>
        <b val="true"/>
        <sz val="16"/>
        <color rgb="FF1F3864"/>
        <rFont val="맑은 고딕"/>
        <family val="0"/>
        <charset val="1"/>
      </rPr>
      <t xml:space="preserve">) </t>
    </r>
    <r>
      <rPr>
        <b val="true"/>
        <sz val="16"/>
        <color rgb="FF1F3864"/>
        <rFont val="Noto Sans CJK SC"/>
        <family val="2"/>
      </rPr>
      <t xml:space="preserve">양식 — 작성 안내</t>
    </r>
  </si>
  <si>
    <r>
      <rPr>
        <sz val="9"/>
        <color rgb="FF595959"/>
        <rFont val="Noto Sans CJK SC"/>
        <family val="2"/>
      </rPr>
      <t xml:space="preserve">코리아</t>
    </r>
    <r>
      <rPr>
        <sz val="9"/>
        <color rgb="FF595959"/>
        <rFont val="맑은 고딕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아카데미 표준안 </t>
    </r>
    <r>
      <rPr>
        <sz val="9"/>
        <color rgb="FF595959"/>
        <rFont val="맑은 고딕"/>
        <family val="0"/>
        <charset val="1"/>
      </rPr>
      <t xml:space="preserve">v1.0 | </t>
    </r>
    <r>
      <rPr>
        <sz val="9"/>
        <color rgb="FF595959"/>
        <rFont val="Noto Sans CJK SC"/>
        <family val="2"/>
      </rPr>
      <t xml:space="preserve">과정평가형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일반 국비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계좌제</t>
    </r>
    <r>
      <rPr>
        <sz val="9"/>
        <color rgb="FF595959"/>
        <rFont val="맑은 고딕"/>
        <family val="0"/>
        <charset val="1"/>
      </rPr>
      <t xml:space="preserve">)·KDT </t>
    </r>
    <r>
      <rPr>
        <sz val="9"/>
        <color rgb="FF595959"/>
        <rFont val="Noto Sans CJK SC"/>
        <family val="2"/>
      </rPr>
      <t xml:space="preserve">공통 </t>
    </r>
    <r>
      <rPr>
        <sz val="9"/>
        <color rgb="FF595959"/>
        <rFont val="맑은 고딕"/>
        <family val="0"/>
        <charset val="1"/>
      </rPr>
      <t xml:space="preserve">| </t>
    </r>
    <r>
      <rPr>
        <sz val="9"/>
        <color rgb="FF595959"/>
        <rFont val="Noto Sans CJK SC"/>
        <family val="2"/>
      </rPr>
      <t xml:space="preserve">심사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인증 증빙 및 훈련생 안내 겸용</t>
    </r>
  </si>
  <si>
    <r>
      <rPr>
        <b val="true"/>
        <sz val="11"/>
        <color rgb="FF000000"/>
        <rFont val="맑은 고딕"/>
        <family val="0"/>
        <charset val="1"/>
      </rPr>
      <t xml:space="preserve">1. </t>
    </r>
    <r>
      <rPr>
        <b val="true"/>
        <sz val="11"/>
        <color rgb="FF000000"/>
        <rFont val="Noto Sans CJK SC"/>
        <family val="2"/>
      </rPr>
      <t xml:space="preserve">색상 범례</t>
    </r>
  </si>
  <si>
    <r>
      <rPr>
        <sz val="10"/>
        <color rgb="FF0000FF"/>
        <rFont val="Noto Sans CJK SC"/>
        <family val="2"/>
      </rPr>
      <t xml:space="preserve">노란 배경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파란 글씨</t>
    </r>
  </si>
  <si>
    <r>
      <rPr>
        <sz val="10"/>
        <color rgb="FF000000"/>
        <rFont val="Noto Sans CJK SC"/>
        <family val="2"/>
      </rPr>
      <t xml:space="preserve">작성자가 직접 입력하는 칸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샘플 값이 미리 채워져 있음 → 과목에 맞게 교체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</si>
  <si>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회색 배경</t>
  </si>
  <si>
    <t xml:space="preserve">항목 라벨 — 수정하지 않음</t>
  </si>
  <si>
    <t xml:space="preserve">흰 배경 검정 글씨</t>
  </si>
  <si>
    <r>
      <rPr>
        <sz val="10"/>
        <color rgb="FF000000"/>
        <rFont val="Noto Sans CJK SC"/>
        <family val="2"/>
      </rPr>
      <t xml:space="preserve">수식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자동 계산</t>
    </r>
    <r>
      <rPr>
        <sz val="10"/>
        <color rgb="FF000000"/>
        <rFont val="맑은 고딕"/>
        <family val="0"/>
        <charset val="1"/>
      </rPr>
      <t xml:space="preserve">) — </t>
    </r>
    <r>
      <rPr>
        <sz val="10"/>
        <color rgb="FF000000"/>
        <rFont val="Noto Sans CJK SC"/>
        <family val="2"/>
      </rPr>
      <t xml:space="preserve">수정하지 않음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시간 합계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비중 합계</t>
    </r>
    <r>
      <rPr>
        <sz val="10"/>
        <color rgb="FF000000"/>
        <rFont val="맑은 고딕"/>
        <family val="0"/>
        <charset val="1"/>
      </rPr>
      <t xml:space="preserve">·NCS </t>
    </r>
    <r>
      <rPr>
        <sz val="10"/>
        <color rgb="FF000000"/>
        <rFont val="Noto Sans CJK SC"/>
        <family val="2"/>
      </rPr>
      <t xml:space="preserve">시간 배분이 자동 계산됨</t>
    </r>
  </si>
  <si>
    <t xml:space="preserve">연두 배경</t>
  </si>
  <si>
    <r>
      <rPr>
        <sz val="10"/>
        <color rgb="FF000000"/>
        <rFont val="Noto Sans CJK SC"/>
        <family val="2"/>
      </rPr>
      <t xml:space="preserve">심사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인증 시 중점 확인 항목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필수 기재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</si>
  <si>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1"/>
        <color rgb="FF000000"/>
        <rFont val="맑은 고딕"/>
        <family val="0"/>
        <charset val="1"/>
      </rPr>
      <t xml:space="preserve">2. </t>
    </r>
    <r>
      <rPr>
        <b val="true"/>
        <sz val="11"/>
        <color rgb="FF000000"/>
        <rFont val="Noto Sans CJK SC"/>
        <family val="2"/>
      </rPr>
      <t xml:space="preserve">시트 구성과 용도</t>
    </r>
  </si>
  <si>
    <t xml:space="preserve">시트</t>
  </si>
  <si>
    <t xml:space="preserve">내용</t>
  </si>
  <si>
    <r>
      <rPr>
        <b val="true"/>
        <sz val="10"/>
        <color rgb="FFFFFFFF"/>
        <rFont val="Noto Sans CJK SC"/>
        <family val="2"/>
      </rPr>
      <t xml:space="preserve">증빙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심사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</si>
  <si>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훈련생 안내</t>
  </si>
  <si>
    <t xml:space="preserve">작성 주체</t>
  </si>
  <si>
    <t xml:space="preserve">① 교과개요</t>
  </si>
  <si>
    <r>
      <rPr>
        <sz val="10"/>
        <color rgb="FF000000"/>
        <rFont val="Noto Sans CJK SC"/>
        <family val="2"/>
      </rPr>
      <t xml:space="preserve">교과목 기본정보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훈련유형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목표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강사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교재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장비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결재란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표지 겸용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</si>
  <si>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●</t>
  </si>
  <si>
    <t xml:space="preserve">○</t>
  </si>
  <si>
    <t xml:space="preserve">교과 담당강사</t>
  </si>
  <si>
    <r>
      <rPr>
        <sz val="10"/>
        <color rgb="FF000000"/>
        <rFont val="맑은 고딕"/>
        <family val="0"/>
        <charset val="1"/>
      </rPr>
      <t xml:space="preserve">② NCS</t>
    </r>
    <r>
      <rPr>
        <sz val="10"/>
        <color rgb="FF000000"/>
        <rFont val="Noto Sans CJK SC"/>
        <family val="2"/>
      </rPr>
      <t xml:space="preserve">매핑</t>
    </r>
  </si>
  <si>
    <r>
      <rPr>
        <sz val="10"/>
        <color rgb="FF000000"/>
        <rFont val="맑은 고딕"/>
        <family val="0"/>
        <charset val="1"/>
      </rPr>
      <t xml:space="preserve">NCS </t>
    </r>
    <r>
      <rPr>
        <sz val="10"/>
        <color rgb="FF000000"/>
        <rFont val="Noto Sans CJK SC"/>
        <family val="2"/>
      </rPr>
      <t xml:space="preserve">능력단위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요소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수행준거와 차시 연결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요소별 편성시간 자동 집계</t>
    </r>
  </si>
  <si>
    <t xml:space="preserve">-</t>
  </si>
  <si>
    <t xml:space="preserve">③ 주차별계획</t>
  </si>
  <si>
    <r>
      <rPr>
        <sz val="10"/>
        <color rgb="FF000000"/>
        <rFont val="Noto Sans CJK SC"/>
        <family val="2"/>
      </rPr>
      <t xml:space="preserve">차시별 학습내용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이론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실습 시간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평가 시점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능력단위요소 코드</t>
    </r>
  </si>
  <si>
    <t xml:space="preserve">④ 차시별지도안</t>
  </si>
  <si>
    <r>
      <rPr>
        <sz val="10"/>
        <color rgb="FF000000"/>
        <rFont val="Noto Sans CJK SC"/>
        <family val="2"/>
      </rPr>
      <t xml:space="preserve">차시별 도입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전개</t>
    </r>
    <r>
      <rPr>
        <sz val="10"/>
        <color rgb="FF000000"/>
        <rFont val="맑은 고딕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정리 단계의 교수학습활동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자료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평가</t>
    </r>
  </si>
  <si>
    <t xml:space="preserve">⑤ 평가계획</t>
  </si>
  <si>
    <r>
      <rPr>
        <sz val="10"/>
        <color rgb="FF000000"/>
        <rFont val="Noto Sans CJK SC"/>
        <family val="2"/>
      </rPr>
      <t xml:space="preserve">평가방법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비중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시기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채점 루브릭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이수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재평가 기준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유형별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</si>
  <si>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담당강사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교무</t>
    </r>
  </si>
  <si>
    <t xml:space="preserve">⑥ 훈련생안내</t>
  </si>
  <si>
    <r>
      <rPr>
        <sz val="10"/>
        <color rgb="FF000000"/>
        <rFont val="Noto Sans CJK SC"/>
        <family val="2"/>
      </rPr>
      <t xml:space="preserve">훈련생 배포용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페이지 요약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목표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준비물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과제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출결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평가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문의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</si>
  <si>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교무 행정</t>
  </si>
  <si>
    <r>
      <rPr>
        <b val="true"/>
        <sz val="11"/>
        <color rgb="FF000000"/>
        <rFont val="맑은 고딕"/>
        <family val="0"/>
        <charset val="1"/>
      </rPr>
      <t xml:space="preserve">3. </t>
    </r>
    <r>
      <rPr>
        <b val="true"/>
        <sz val="11"/>
        <color rgb="FF000000"/>
        <rFont val="Noto Sans CJK SC"/>
        <family val="2"/>
      </rPr>
      <t xml:space="preserve">작성 원칙</t>
    </r>
  </si>
  <si>
    <r>
      <rPr>
        <sz val="10"/>
        <color rgb="FF000000"/>
        <rFont val="맑은 고딕"/>
        <family val="0"/>
        <charset val="1"/>
      </rPr>
      <t xml:space="preserve">1. </t>
    </r>
    <r>
      <rPr>
        <sz val="10"/>
        <color rgb="FF000000"/>
        <rFont val="Noto Sans CJK SC"/>
        <family val="2"/>
      </rPr>
      <t xml:space="preserve">훈련시간 단위</t>
    </r>
    <r>
      <rPr>
        <sz val="10"/>
        <color rgb="FF000000"/>
        <rFont val="맑은 고딕"/>
        <family val="0"/>
        <charset val="1"/>
      </rPr>
      <t xml:space="preserve">: 1</t>
    </r>
    <r>
      <rPr>
        <sz val="10"/>
        <color rgb="FF000000"/>
        <rFont val="Noto Sans CJK SC"/>
        <family val="2"/>
      </rPr>
      <t xml:space="preserve">시간 </t>
    </r>
    <r>
      <rPr>
        <sz val="10"/>
        <color rgb="FF000000"/>
        <rFont val="맑은 고딕"/>
        <family val="0"/>
        <charset val="1"/>
      </rPr>
      <t xml:space="preserve">= 50</t>
    </r>
    <r>
      <rPr>
        <sz val="10"/>
        <color rgb="FF000000"/>
        <rFont val="Noto Sans CJK SC"/>
        <family val="2"/>
      </rPr>
      <t xml:space="preserve">분 수업 </t>
    </r>
    <r>
      <rPr>
        <sz val="10"/>
        <color rgb="FF000000"/>
        <rFont val="맑은 고딕"/>
        <family val="0"/>
        <charset val="1"/>
      </rPr>
      <t xml:space="preserve">+ 10</t>
    </r>
    <r>
      <rPr>
        <sz val="10"/>
        <color rgb="FF000000"/>
        <rFont val="Noto Sans CJK SC"/>
        <family val="2"/>
      </rPr>
      <t xml:space="preserve">분 휴식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기관 규정에 따름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Noto Sans CJK SC"/>
        <family val="2"/>
      </rPr>
      <t xml:space="preserve">총 훈련시간은 ③주차별계획의 합계가 기준이며 ①</t>
    </r>
    <r>
      <rPr>
        <sz val="10"/>
        <color rgb="FF000000"/>
        <rFont val="맑은 고딕"/>
        <family val="0"/>
        <charset val="1"/>
      </rPr>
      <t xml:space="preserve">·②·⑥</t>
    </r>
    <r>
      <rPr>
        <sz val="10"/>
        <color rgb="FF000000"/>
        <rFont val="Noto Sans CJK SC"/>
        <family val="2"/>
      </rPr>
      <t xml:space="preserve">에 자동 반영된다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</si>
  <si>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2. </t>
    </r>
    <r>
      <rPr>
        <sz val="10"/>
        <color rgb="FF000000"/>
        <rFont val="Noto Sans CJK SC"/>
        <family val="2"/>
      </rPr>
      <t xml:space="preserve">훈련유형별 필수 항목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과정평가형 → ②</t>
    </r>
    <r>
      <rPr>
        <sz val="10"/>
        <color rgb="FF000000"/>
        <rFont val="맑은 고딕"/>
        <family val="0"/>
        <charset val="1"/>
      </rPr>
      <t xml:space="preserve">NCS</t>
    </r>
    <r>
      <rPr>
        <sz val="10"/>
        <color rgb="FF000000"/>
        <rFont val="Noto Sans CJK SC"/>
        <family val="2"/>
      </rPr>
      <t xml:space="preserve">매핑 </t>
    </r>
    <r>
      <rPr>
        <sz val="10"/>
        <color rgb="FF000000"/>
        <rFont val="맑은 고딕"/>
        <family val="0"/>
        <charset val="1"/>
      </rPr>
      <t xml:space="preserve">+ ⑤</t>
    </r>
    <r>
      <rPr>
        <sz val="10"/>
        <color rgb="FF000000"/>
        <rFont val="Noto Sans CJK SC"/>
        <family val="2"/>
      </rPr>
      <t xml:space="preserve">능력단위별 내부평가</t>
    </r>
    <r>
      <rPr>
        <sz val="10"/>
        <color rgb="FF000000"/>
        <rFont val="맑은 고딕"/>
        <family val="0"/>
        <charset val="1"/>
      </rPr>
      <t xml:space="preserve">(100</t>
    </r>
    <r>
      <rPr>
        <sz val="10"/>
        <color rgb="FF000000"/>
        <rFont val="Noto Sans CJK SC"/>
        <family val="2"/>
      </rPr>
      <t xml:space="preserve">점 환산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Noto Sans CJK SC"/>
        <family val="2"/>
      </rPr>
      <t xml:space="preserve">필수 </t>
    </r>
    <r>
      <rPr>
        <sz val="10"/>
        <color rgb="FF000000"/>
        <rFont val="맑은 고딕"/>
        <family val="0"/>
        <charset val="1"/>
      </rPr>
      <t xml:space="preserve">/ KDT → ⑤</t>
    </r>
    <r>
      <rPr>
        <sz val="10"/>
        <color rgb="FF000000"/>
        <rFont val="Noto Sans CJK SC"/>
        <family val="2"/>
      </rPr>
      <t xml:space="preserve">프로젝트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실무</t>
    </r>
    <r>
      <rPr>
        <sz val="10"/>
        <color rgb="FF000000"/>
        <rFont val="맑은 고딕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평가 및 ③프로젝트 차시 필수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Noto Sans CJK SC"/>
        <family val="2"/>
      </rPr>
      <t xml:space="preserve">일반 국비 → ①</t>
    </r>
    <r>
      <rPr>
        <sz val="10"/>
        <color rgb="FF000000"/>
        <rFont val="맑은 고딕"/>
        <family val="0"/>
        <charset val="1"/>
      </rPr>
      <t xml:space="preserve">·③·⑤ </t>
    </r>
    <r>
      <rPr>
        <sz val="10"/>
        <color rgb="FF000000"/>
        <rFont val="Noto Sans CJK SC"/>
        <family val="2"/>
      </rPr>
      <t xml:space="preserve">필수</t>
    </r>
    <r>
      <rPr>
        <sz val="10"/>
        <color rgb="FF000000"/>
        <rFont val="맑은 고딕"/>
        <family val="0"/>
        <charset val="1"/>
      </rPr>
      <t xml:space="preserve">, ②</t>
    </r>
    <r>
      <rPr>
        <sz val="10"/>
        <color rgb="FF000000"/>
        <rFont val="Noto Sans CJK SC"/>
        <family val="2"/>
      </rPr>
      <t xml:space="preserve">는 </t>
    </r>
    <r>
      <rPr>
        <sz val="10"/>
        <color rgb="FF000000"/>
        <rFont val="맑은 고딕"/>
        <family val="0"/>
        <charset val="1"/>
      </rPr>
      <t xml:space="preserve">NCS </t>
    </r>
    <r>
      <rPr>
        <sz val="10"/>
        <color rgb="FF000000"/>
        <rFont val="Noto Sans CJK SC"/>
        <family val="2"/>
      </rPr>
      <t xml:space="preserve">기반 과정일 때 작성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</si>
  <si>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3. NCS </t>
    </r>
    <r>
      <rPr>
        <sz val="10"/>
        <color rgb="FF000000"/>
        <rFont val="Noto Sans CJK SC"/>
        <family val="2"/>
      </rPr>
      <t xml:space="preserve">코드는 </t>
    </r>
    <r>
      <rPr>
        <sz val="10"/>
        <color rgb="FF000000"/>
        <rFont val="맑은 고딕"/>
        <family val="0"/>
        <charset val="1"/>
      </rPr>
      <t xml:space="preserve">ncs.go.kr</t>
    </r>
    <r>
      <rPr>
        <sz val="10"/>
        <color rgb="FF000000"/>
        <rFont val="Noto Sans CJK SC"/>
        <family val="2"/>
      </rPr>
      <t xml:space="preserve">에서 최신 버전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: _20v4)</t>
    </r>
    <r>
      <rPr>
        <sz val="10"/>
        <color rgb="FF000000"/>
        <rFont val="Noto Sans CJK SC"/>
        <family val="2"/>
      </rPr>
      <t xml:space="preserve">을 확인해 기재하고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개정 시 코드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버전을 함께 갱신한다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</si>
  <si>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4. </t>
    </r>
    <r>
      <rPr>
        <sz val="10"/>
        <color rgb="FF000000"/>
        <rFont val="Noto Sans CJK SC"/>
        <family val="2"/>
      </rPr>
      <t xml:space="preserve">차시별지도안은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실제 수업에서 무엇을 어떻게 했는지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가 드러나야 하며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현장 모니터링 시 훈련일지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출석부와 대조되므로 ③주차별계획과 차시 번호를 일치시킨다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</si>
  <si>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5. </t>
    </r>
    <r>
      <rPr>
        <sz val="10"/>
        <color rgb="FF000000"/>
        <rFont val="Noto Sans CJK SC"/>
        <family val="2"/>
      </rPr>
      <t xml:space="preserve">평가 비중 합계는 </t>
    </r>
    <r>
      <rPr>
        <sz val="10"/>
        <color rgb="FF000000"/>
        <rFont val="맑은 고딕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가 되어야 하며</t>
    </r>
    <r>
      <rPr>
        <sz val="10"/>
        <color rgb="FF000000"/>
        <rFont val="맑은 고딕"/>
        <family val="0"/>
        <charset val="1"/>
      </rPr>
      <t xml:space="preserve">(⑤ </t>
    </r>
    <r>
      <rPr>
        <sz val="10"/>
        <color rgb="FF000000"/>
        <rFont val="Noto Sans CJK SC"/>
        <family val="2"/>
      </rPr>
      <t xml:space="preserve">자동 검증</t>
    </r>
    <r>
      <rPr>
        <sz val="10"/>
        <color rgb="FF000000"/>
        <rFont val="맑은 고딕"/>
        <family val="0"/>
        <charset val="1"/>
      </rPr>
      <t xml:space="preserve">), </t>
    </r>
    <r>
      <rPr>
        <sz val="10"/>
        <color rgb="FF000000"/>
        <rFont val="Noto Sans CJK SC"/>
        <family val="2"/>
      </rPr>
      <t xml:space="preserve">평가 문항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루브릭은 수행준거 문장에서 도출한다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</si>
  <si>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맑은 고딕"/>
        <family val="0"/>
        <charset val="1"/>
      </rPr>
      <t xml:space="preserve">6. </t>
    </r>
    <r>
      <rPr>
        <sz val="10"/>
        <color rgb="FF000000"/>
        <rFont val="Noto Sans CJK SC"/>
        <family val="2"/>
      </rPr>
      <t xml:space="preserve">훈련생 배포 시에는 ⑥훈련생안내 시트만 </t>
    </r>
    <r>
      <rPr>
        <sz val="10"/>
        <color rgb="FF000000"/>
        <rFont val="맑은 고딕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로 출력해 전달하고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심사 제출 시에는 전체 시트를 인쇄한다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각 시트 </t>
    </r>
    <r>
      <rPr>
        <sz val="10"/>
        <color rgb="FF000000"/>
        <rFont val="맑은 고딕"/>
        <family val="0"/>
        <charset val="1"/>
      </rPr>
      <t xml:space="preserve">A4 </t>
    </r>
    <r>
      <rPr>
        <sz val="10"/>
        <color rgb="FF000000"/>
        <rFont val="Noto Sans CJK SC"/>
        <family val="2"/>
      </rPr>
      <t xml:space="preserve">가로 인쇄 설정 완료</t>
    </r>
    <r>
      <rPr>
        <sz val="10"/>
        <color rgb="FF000000"/>
        <rFont val="맑은 고딕"/>
        <family val="0"/>
        <charset val="1"/>
      </rPr>
      <t xml:space="preserve">).</t>
    </r>
  </si>
  <si>
    <r>
      <rPr>
        <b val="true"/>
        <sz val="11"/>
        <color rgb="FF000000"/>
        <rFont val="맑은 고딕"/>
        <family val="0"/>
        <charset val="1"/>
      </rPr>
      <t xml:space="preserve">4. </t>
    </r>
    <r>
      <rPr>
        <b val="true"/>
        <sz val="11"/>
        <color rgb="FF000000"/>
        <rFont val="Noto Sans CJK SC"/>
        <family val="2"/>
      </rPr>
      <t xml:space="preserve">참고 근거</t>
    </r>
  </si>
  <si>
    <r>
      <rPr>
        <sz val="9"/>
        <color rgb="FF595959"/>
        <rFont val="Noto Sans CJK SC"/>
        <family val="2"/>
      </rPr>
      <t xml:space="preserve">과정평가형 이수기준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능력단위별 출석률 </t>
    </r>
    <r>
      <rPr>
        <sz val="9"/>
        <color rgb="FF595959"/>
        <rFont val="맑은 고딕"/>
        <family val="0"/>
        <charset val="1"/>
      </rPr>
      <t xml:space="preserve">75% </t>
    </r>
    <r>
      <rPr>
        <sz val="9"/>
        <color rgb="FF595959"/>
        <rFont val="Noto Sans CJK SC"/>
        <family val="2"/>
      </rPr>
      <t xml:space="preserve">이상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모든 내부평가 참여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능력단위별 </t>
    </r>
    <r>
      <rPr>
        <sz val="9"/>
        <color rgb="FF595959"/>
        <rFont val="맑은 고딕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점 환산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지필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실무평가 병행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내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외부평가 </t>
    </r>
    <r>
      <rPr>
        <sz val="9"/>
        <color rgb="FF595959"/>
        <rFont val="맑은 고딕"/>
        <family val="0"/>
        <charset val="1"/>
      </rPr>
      <t xml:space="preserve">1:1 </t>
    </r>
    <r>
      <rPr>
        <sz val="9"/>
        <color rgb="FF595959"/>
        <rFont val="Noto Sans CJK SC"/>
        <family val="2"/>
      </rPr>
      <t xml:space="preserve">반영 평균 </t>
    </r>
    <r>
      <rPr>
        <sz val="9"/>
        <color rgb="FF595959"/>
        <rFont val="맑은 고딕"/>
        <family val="0"/>
        <charset val="1"/>
      </rPr>
      <t xml:space="preserve">80</t>
    </r>
    <r>
      <rPr>
        <sz val="9"/>
        <color rgb="FF595959"/>
        <rFont val="Noto Sans CJK SC"/>
        <family val="2"/>
      </rPr>
      <t xml:space="preserve">점 이상 합격 </t>
    </r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출처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큐넷 과정평가형자격 운영절차 </t>
    </r>
    <r>
      <rPr>
        <sz val="9"/>
        <color rgb="FF595959"/>
        <rFont val="맑은 고딕"/>
        <family val="0"/>
        <charset val="1"/>
      </rPr>
      <t xml:space="preserve">c.q-net.or.kr]</t>
    </r>
  </si>
  <si>
    <r>
      <rPr>
        <sz val="9"/>
        <color rgb="FF595959"/>
        <rFont val="맑은 고딕"/>
        <family val="0"/>
        <charset val="1"/>
      </rPr>
      <t xml:space="preserve">NCS </t>
    </r>
    <r>
      <rPr>
        <sz val="9"/>
        <color rgb="FF595959"/>
        <rFont val="Noto Sans CJK SC"/>
        <family val="2"/>
      </rPr>
      <t xml:space="preserve">분류</t>
    </r>
    <r>
      <rPr>
        <sz val="9"/>
        <color rgb="FF595959"/>
        <rFont val="맑은 고딕"/>
        <family val="0"/>
        <charset val="1"/>
      </rPr>
      <t xml:space="preserve">: 20.</t>
    </r>
    <r>
      <rPr>
        <sz val="9"/>
        <color rgb="FF595959"/>
        <rFont val="Noto Sans CJK SC"/>
        <family val="2"/>
      </rPr>
      <t xml:space="preserve">정보통신 </t>
    </r>
    <r>
      <rPr>
        <sz val="9"/>
        <color rgb="FF595959"/>
        <rFont val="맑은 고딕"/>
        <family val="0"/>
        <charset val="1"/>
      </rPr>
      <t xml:space="preserve">&gt; 01.</t>
    </r>
    <r>
      <rPr>
        <sz val="9"/>
        <color rgb="FF595959"/>
        <rFont val="Noto Sans CJK SC"/>
        <family val="2"/>
      </rPr>
      <t xml:space="preserve">정보기술 </t>
    </r>
    <r>
      <rPr>
        <sz val="9"/>
        <color rgb="FF595959"/>
        <rFont val="맑은 고딕"/>
        <family val="0"/>
        <charset val="1"/>
      </rPr>
      <t xml:space="preserve">&gt; 02.</t>
    </r>
    <r>
      <rPr>
        <sz val="9"/>
        <color rgb="FF595959"/>
        <rFont val="Noto Sans CJK SC"/>
        <family val="2"/>
      </rPr>
      <t xml:space="preserve">정보기술개발 </t>
    </r>
    <r>
      <rPr>
        <sz val="9"/>
        <color rgb="FF595959"/>
        <rFont val="맑은 고딕"/>
        <family val="0"/>
        <charset val="1"/>
      </rPr>
      <t xml:space="preserve">&gt; 03.</t>
    </r>
    <r>
      <rPr>
        <sz val="9"/>
        <color rgb="FF595959"/>
        <rFont val="Noto Sans CJK SC"/>
        <family val="2"/>
      </rPr>
      <t xml:space="preserve">응용</t>
    </r>
    <r>
      <rPr>
        <sz val="9"/>
        <color rgb="FF595959"/>
        <rFont val="맑은 고딕"/>
        <family val="0"/>
        <charset val="1"/>
      </rPr>
      <t xml:space="preserve">SW</t>
    </r>
    <r>
      <rPr>
        <sz val="9"/>
        <color rgb="FF595959"/>
        <rFont val="Noto Sans CJK SC"/>
        <family val="2"/>
      </rPr>
      <t xml:space="preserve">엔지니어링 </t>
    </r>
    <r>
      <rPr>
        <sz val="9"/>
        <color rgb="FF595959"/>
        <rFont val="맑은 고딕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프로그래밍 언어 활용</t>
    </r>
    <r>
      <rPr>
        <sz val="9"/>
        <color rgb="FF595959"/>
        <rFont val="맑은 고딕"/>
        <family val="0"/>
        <charset val="1"/>
      </rPr>
      <t xml:space="preserve">(2001020215_20v4) — </t>
    </r>
    <r>
      <rPr>
        <sz val="9"/>
        <color rgb="FF595959"/>
        <rFont val="Noto Sans CJK SC"/>
        <family val="2"/>
      </rPr>
      <t xml:space="preserve">세부 코드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버전은 </t>
    </r>
    <r>
      <rPr>
        <sz val="9"/>
        <color rgb="FF595959"/>
        <rFont val="맑은 고딕"/>
        <family val="0"/>
        <charset val="1"/>
      </rPr>
      <t xml:space="preserve">ncs.go.kr</t>
    </r>
    <r>
      <rPr>
        <sz val="9"/>
        <color rgb="FF595959"/>
        <rFont val="Noto Sans CJK SC"/>
        <family val="2"/>
      </rPr>
      <t xml:space="preserve">에서 최종 확인 필요 </t>
    </r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출처</t>
    </r>
    <r>
      <rPr>
        <sz val="9"/>
        <color rgb="FF595959"/>
        <rFont val="맑은 고딕"/>
        <family val="0"/>
        <charset val="1"/>
      </rPr>
      <t xml:space="preserve">: NCS </t>
    </r>
    <r>
      <rPr>
        <sz val="9"/>
        <color rgb="FF595959"/>
        <rFont val="Noto Sans CJK SC"/>
        <family val="2"/>
      </rPr>
      <t xml:space="preserve">국가직무능력표준 </t>
    </r>
    <r>
      <rPr>
        <sz val="9"/>
        <color rgb="FF595959"/>
        <rFont val="맑은 고딕"/>
        <family val="0"/>
        <charset val="1"/>
      </rPr>
      <t xml:space="preserve">ncs.go.kr]</t>
    </r>
  </si>
  <si>
    <r>
      <rPr>
        <sz val="9"/>
        <color rgb="FF595959"/>
        <rFont val="맑은 고딕"/>
        <family val="0"/>
        <charset val="1"/>
      </rPr>
      <t xml:space="preserve">KDT </t>
    </r>
    <r>
      <rPr>
        <sz val="9"/>
        <color rgb="FF595959"/>
        <rFont val="Noto Sans CJK SC"/>
        <family val="2"/>
      </rPr>
      <t xml:space="preserve">심사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훈련내용의 실무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프로젝트 중심 구성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강사 요건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선도기업 아카데미의 경우 현직자 참여 </t>
    </r>
    <r>
      <rPr>
        <sz val="9"/>
        <color rgb="FF595959"/>
        <rFont val="맑은 고딕"/>
        <family val="0"/>
        <charset val="1"/>
      </rPr>
      <t xml:space="preserve">80% </t>
    </r>
    <r>
      <rPr>
        <sz val="9"/>
        <color rgb="FF595959"/>
        <rFont val="Noto Sans CJK SC"/>
        <family val="2"/>
      </rPr>
      <t xml:space="preserve">이상</t>
    </r>
    <r>
      <rPr>
        <sz val="9"/>
        <color rgb="FF595959"/>
        <rFont val="맑은 고딕"/>
        <family val="0"/>
        <charset val="1"/>
      </rPr>
      <t xml:space="preserve">), </t>
    </r>
    <r>
      <rPr>
        <sz val="9"/>
        <color rgb="FF595959"/>
        <rFont val="Noto Sans CJK SC"/>
        <family val="2"/>
      </rPr>
      <t xml:space="preserve">취업률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수료 </t>
    </r>
    <r>
      <rPr>
        <sz val="9"/>
        <color rgb="FF595959"/>
        <rFont val="맑은 고딕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개월 후 산정</t>
    </r>
    <r>
      <rPr>
        <sz val="9"/>
        <color rgb="FF595959"/>
        <rFont val="맑은 고딕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등을 종합 심사 </t>
    </r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출처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대한민국 정책브리핑 </t>
    </r>
    <r>
      <rPr>
        <sz val="9"/>
        <color rgb="FF595959"/>
        <rFont val="맑은 고딕"/>
        <family val="0"/>
        <charset val="1"/>
      </rPr>
      <t xml:space="preserve">korea.kr]</t>
    </r>
  </si>
  <si>
    <r>
      <rPr>
        <b val="true"/>
        <sz val="16"/>
        <color rgb="FF1F3864"/>
        <rFont val="Noto Sans CJK SC"/>
        <family val="2"/>
      </rPr>
      <t xml:space="preserve">강의 교안 </t>
    </r>
    <r>
      <rPr>
        <b val="true"/>
        <sz val="16"/>
        <color rgb="FF1F3864"/>
        <rFont val="맑은 고딕"/>
        <family val="0"/>
        <charset val="1"/>
      </rPr>
      <t xml:space="preserve">(</t>
    </r>
    <r>
      <rPr>
        <b val="true"/>
        <sz val="16"/>
        <color rgb="FF1F3864"/>
        <rFont val="Noto Sans CJK SC"/>
        <family val="2"/>
      </rPr>
      <t xml:space="preserve">교과목 운영계획서</t>
    </r>
    <r>
      <rPr>
        <b val="true"/>
        <sz val="16"/>
        <color rgb="FF1F3864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</si>
  <si>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훈련기관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코리아</t>
    </r>
    <r>
      <rPr>
        <sz val="9"/>
        <color rgb="FF595959"/>
        <rFont val="맑은 고딕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아카데미 </t>
    </r>
    <r>
      <rPr>
        <sz val="9"/>
        <color rgb="FF595959"/>
        <rFont val="맑은 고딕"/>
        <family val="0"/>
        <charset val="1"/>
      </rPr>
      <t xml:space="preserve">| </t>
    </r>
    <r>
      <rPr>
        <sz val="9"/>
        <color rgb="FF595959"/>
        <rFont val="Noto Sans CJK SC"/>
        <family val="2"/>
      </rPr>
      <t xml:space="preserve">문서번호</t>
    </r>
    <r>
      <rPr>
        <sz val="9"/>
        <color rgb="FF595959"/>
        <rFont val="맑은 고딕"/>
        <family val="0"/>
        <charset val="1"/>
      </rPr>
      <t xml:space="preserve">: KAA-LP-2026-PY01 | </t>
    </r>
    <r>
      <rPr>
        <sz val="9"/>
        <color rgb="FF595959"/>
        <rFont val="Noto Sans CJK SC"/>
        <family val="2"/>
      </rPr>
      <t xml:space="preserve">작성일</t>
    </r>
    <r>
      <rPr>
        <sz val="9"/>
        <color rgb="FF595959"/>
        <rFont val="맑은 고딕"/>
        <family val="0"/>
        <charset val="1"/>
      </rPr>
      <t xml:space="preserve">: 2026-09-09</t>
    </r>
  </si>
  <si>
    <r>
      <rPr>
        <b val="true"/>
        <sz val="11"/>
        <color rgb="FFFFFFFF"/>
        <rFont val="맑은 고딕"/>
        <family val="0"/>
        <charset val="1"/>
      </rPr>
      <t xml:space="preserve">1. </t>
    </r>
    <r>
      <rPr>
        <b val="true"/>
        <sz val="11"/>
        <color rgb="FFFFFFFF"/>
        <rFont val="Noto Sans CJK SC"/>
        <family val="2"/>
      </rPr>
      <t xml:space="preserve">교과목 기본 정보</t>
    </r>
  </si>
  <si>
    <t xml:space="preserve">결재</t>
  </si>
  <si>
    <t xml:space="preserve">담당강사</t>
  </si>
  <si>
    <t xml:space="preserve">교무팀장</t>
  </si>
  <si>
    <t xml:space="preserve">훈련과정명</t>
  </si>
  <si>
    <r>
      <rPr>
        <sz val="10"/>
        <color rgb="FF0000FF"/>
        <rFont val="맑은 고딕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융합 파이썬 백엔드 개발자 양성과정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예시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</si>
  <si>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훈련유형</t>
  </si>
  <si>
    <r>
      <rPr>
        <sz val="10"/>
        <color rgb="FF0000FF"/>
        <rFont val="Noto Sans CJK SC"/>
        <family val="2"/>
      </rPr>
      <t xml:space="preserve">☑ 과정평가형  ☑ 일반국비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계좌제</t>
    </r>
    <r>
      <rPr>
        <sz val="10"/>
        <color rgb="FF0000FF"/>
        <rFont val="맑은 고딕"/>
        <family val="0"/>
        <charset val="1"/>
      </rPr>
      <t xml:space="preserve">)  ☑ KDT</t>
    </r>
  </si>
  <si>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서명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</si>
  <si>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교과목명</t>
  </si>
  <si>
    <t xml:space="preserve">파이썬 프로그래밍 기초</t>
  </si>
  <si>
    <t xml:space="preserve">교과목 코드</t>
  </si>
  <si>
    <t xml:space="preserve">PY-101</t>
  </si>
  <si>
    <r>
      <rPr>
        <sz val="10"/>
        <color rgb="FF0000FF"/>
        <rFont val="Noto Sans CJK SC"/>
        <family val="2"/>
      </rPr>
      <t xml:space="preserve">결재일</t>
    </r>
    <r>
      <rPr>
        <sz val="10"/>
        <color rgb="FF0000FF"/>
        <rFont val="맑은 고딕"/>
        <family val="0"/>
        <charset val="1"/>
      </rPr>
      <t xml:space="preserve">:          .    .</t>
    </r>
  </si>
  <si>
    <t xml:space="preserve">훈련기간</t>
  </si>
  <si>
    <r>
      <rPr>
        <sz val="10"/>
        <color rgb="FF0000FF"/>
        <rFont val="맑은 고딕"/>
        <family val="0"/>
        <charset val="1"/>
      </rPr>
      <t xml:space="preserve">2026-10-05 ~ 2026-10-16 (2</t>
    </r>
    <r>
      <rPr>
        <sz val="10"/>
        <color rgb="FF0000FF"/>
        <rFont val="Noto Sans CJK SC"/>
        <family val="2"/>
      </rPr>
      <t xml:space="preserve">주</t>
    </r>
    <r>
      <rPr>
        <sz val="10"/>
        <color rgb="FF0000FF"/>
        <rFont val="맑은 고딕"/>
        <family val="0"/>
        <charset val="1"/>
      </rPr>
      <t xml:space="preserve">, 10</t>
    </r>
    <r>
      <rPr>
        <sz val="10"/>
        <color rgb="FF0000FF"/>
        <rFont val="Noto Sans CJK SC"/>
        <family val="2"/>
      </rPr>
      <t xml:space="preserve">일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</si>
  <si>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교육시간</t>
  </si>
  <si>
    <r>
      <rPr>
        <sz val="10"/>
        <color rgb="FF0000FF"/>
        <rFont val="Noto Sans CJK SC"/>
        <family val="2"/>
      </rPr>
      <t xml:space="preserve">월</t>
    </r>
    <r>
      <rPr>
        <sz val="10"/>
        <color rgb="FF0000FF"/>
        <rFont val="맑은 고딕"/>
        <family val="0"/>
        <charset val="1"/>
      </rPr>
      <t xml:space="preserve">~</t>
    </r>
    <r>
      <rPr>
        <sz val="10"/>
        <color rgb="FF0000FF"/>
        <rFont val="Noto Sans CJK SC"/>
        <family val="2"/>
      </rPr>
      <t xml:space="preserve">금 </t>
    </r>
    <r>
      <rPr>
        <sz val="10"/>
        <color rgb="FF0000FF"/>
        <rFont val="맑은 고딕"/>
        <family val="0"/>
        <charset val="1"/>
      </rPr>
      <t xml:space="preserve">09:00 ~ 13:00 (1</t>
    </r>
    <r>
      <rPr>
        <sz val="10"/>
        <color rgb="FF0000FF"/>
        <rFont val="Noto Sans CJK SC"/>
        <family val="2"/>
      </rPr>
      <t xml:space="preserve">일 </t>
    </r>
    <r>
      <rPr>
        <sz val="10"/>
        <color rgb="FF0000FF"/>
        <rFont val="맑은 고딕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시간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</si>
  <si>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부원장</t>
  </si>
  <si>
    <r>
      <rPr>
        <sz val="10"/>
        <color rgb="FF0000FF"/>
        <rFont val="Noto Sans CJK SC"/>
        <family val="2"/>
      </rPr>
      <t xml:space="preserve">홍길동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정보처리기사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파이썬 실무 </t>
    </r>
    <r>
      <rPr>
        <sz val="10"/>
        <color rgb="FF0000FF"/>
        <rFont val="맑은 고딕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년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</si>
  <si>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보조강사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멘토</t>
    </r>
  </si>
  <si>
    <r>
      <rPr>
        <sz val="10"/>
        <color rgb="FF0000FF"/>
        <rFont val="Noto Sans CJK SC"/>
        <family val="2"/>
      </rPr>
      <t xml:space="preserve">김멘토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실습 보조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피드백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</si>
  <si>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훈련장소</t>
  </si>
  <si>
    <r>
      <rPr>
        <sz val="10"/>
        <color rgb="FF0000FF"/>
        <rFont val="Noto Sans CJK SC"/>
        <family val="2"/>
      </rPr>
      <t xml:space="preserve">본원 </t>
    </r>
    <r>
      <rPr>
        <sz val="10"/>
        <color rgb="FF0000FF"/>
        <rFont val="맑은 고딕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층 실습실 </t>
    </r>
    <r>
      <rPr>
        <sz val="10"/>
        <color rgb="FF0000FF"/>
        <rFont val="맑은 고딕"/>
        <family val="0"/>
        <charset val="1"/>
      </rPr>
      <t xml:space="preserve">A (PC 25</t>
    </r>
    <r>
      <rPr>
        <sz val="10"/>
        <color rgb="FF0000FF"/>
        <rFont val="Noto Sans CJK SC"/>
        <family val="2"/>
      </rPr>
      <t xml:space="preserve">대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</si>
  <si>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정원</t>
  </si>
  <si>
    <r>
      <rPr>
        <sz val="10"/>
        <color rgb="FF0000FF"/>
        <rFont val="맑은 고딕"/>
        <family val="0"/>
        <charset val="1"/>
      </rPr>
      <t xml:space="preserve">20</t>
    </r>
    <r>
      <rPr>
        <sz val="10"/>
        <color rgb="FF0000FF"/>
        <rFont val="Noto Sans CJK SC"/>
        <family val="2"/>
      </rPr>
      <t xml:space="preserve">명</t>
    </r>
  </si>
  <si>
    <t xml:space="preserve">총 훈련시간</t>
  </si>
  <si>
    <r>
      <rPr>
        <b val="true"/>
        <sz val="10"/>
        <color rgb="FF000000"/>
        <rFont val="Noto Sans CJK SC"/>
        <family val="2"/>
      </rPr>
      <t xml:space="preserve">이론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실습</t>
    </r>
  </si>
  <si>
    <r>
      <rPr>
        <b val="true"/>
        <sz val="10"/>
        <color rgb="FF000000"/>
        <rFont val="Noto Sans CJK SC"/>
        <family val="2"/>
      </rPr>
      <t xml:space="preserve">평가 시간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포함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</si>
  <si>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실습 비율</t>
  </si>
  <si>
    <r>
      <rPr>
        <b val="true"/>
        <sz val="11"/>
        <color rgb="FFFFFFFF"/>
        <rFont val="맑은 고딕"/>
        <family val="0"/>
        <charset val="1"/>
      </rPr>
      <t xml:space="preserve">2. NCS </t>
    </r>
    <r>
      <rPr>
        <b val="true"/>
        <sz val="11"/>
        <color rgb="FFFFFFFF"/>
        <rFont val="Noto Sans CJK SC"/>
        <family val="2"/>
      </rPr>
      <t xml:space="preserve">분류 및 능력단위</t>
    </r>
  </si>
  <si>
    <r>
      <rPr>
        <b val="true"/>
        <sz val="10"/>
        <color rgb="FF000000"/>
        <rFont val="맑은 고딕"/>
        <family val="0"/>
        <charset val="1"/>
      </rPr>
      <t xml:space="preserve">NCS </t>
    </r>
    <r>
      <rPr>
        <b val="true"/>
        <sz val="10"/>
        <color rgb="FF000000"/>
        <rFont val="Noto Sans CJK SC"/>
        <family val="2"/>
      </rPr>
      <t xml:space="preserve">분류</t>
    </r>
  </si>
  <si>
    <r>
      <rPr>
        <sz val="10"/>
        <color rgb="FF0000FF"/>
        <rFont val="맑은 고딕"/>
        <family val="0"/>
        <charset val="1"/>
      </rPr>
      <t xml:space="preserve">20.</t>
    </r>
    <r>
      <rPr>
        <sz val="10"/>
        <color rgb="FF0000FF"/>
        <rFont val="Noto Sans CJK SC"/>
        <family val="2"/>
      </rPr>
      <t xml:space="preserve">정보통신 </t>
    </r>
    <r>
      <rPr>
        <sz val="10"/>
        <color rgb="FF0000FF"/>
        <rFont val="맑은 고딕"/>
        <family val="0"/>
        <charset val="1"/>
      </rPr>
      <t xml:space="preserve">&gt; 01.</t>
    </r>
    <r>
      <rPr>
        <sz val="10"/>
        <color rgb="FF0000FF"/>
        <rFont val="Noto Sans CJK SC"/>
        <family val="2"/>
      </rPr>
      <t xml:space="preserve">정보기술 </t>
    </r>
    <r>
      <rPr>
        <sz val="10"/>
        <color rgb="FF0000FF"/>
        <rFont val="맑은 고딕"/>
        <family val="0"/>
        <charset val="1"/>
      </rPr>
      <t xml:space="preserve">&gt; 02.</t>
    </r>
    <r>
      <rPr>
        <sz val="10"/>
        <color rgb="FF0000FF"/>
        <rFont val="Noto Sans CJK SC"/>
        <family val="2"/>
      </rPr>
      <t xml:space="preserve">정보기술개발 </t>
    </r>
    <r>
      <rPr>
        <sz val="10"/>
        <color rgb="FF0000FF"/>
        <rFont val="맑은 고딕"/>
        <family val="0"/>
        <charset val="1"/>
      </rPr>
      <t xml:space="preserve">&gt; 03.</t>
    </r>
    <r>
      <rPr>
        <sz val="10"/>
        <color rgb="FF0000FF"/>
        <rFont val="Noto Sans CJK SC"/>
        <family val="2"/>
      </rPr>
      <t xml:space="preserve">응용</t>
    </r>
    <r>
      <rPr>
        <sz val="10"/>
        <color rgb="FF0000FF"/>
        <rFont val="맑은 고딕"/>
        <family val="0"/>
        <charset val="1"/>
      </rPr>
      <t xml:space="preserve">SW</t>
    </r>
    <r>
      <rPr>
        <sz val="10"/>
        <color rgb="FF0000FF"/>
        <rFont val="Noto Sans CJK SC"/>
        <family val="2"/>
      </rPr>
      <t xml:space="preserve">엔지니어링</t>
    </r>
  </si>
  <si>
    <r>
      <rPr>
        <b val="true"/>
        <sz val="10"/>
        <color rgb="FF000000"/>
        <rFont val="Noto Sans CJK SC"/>
        <family val="2"/>
      </rPr>
      <t xml:space="preserve">능력단위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코드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</si>
  <si>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프로그래밍 언어 활용 </t>
    </r>
    <r>
      <rPr>
        <sz val="10"/>
        <color rgb="FF0000FF"/>
        <rFont val="맑은 고딕"/>
        <family val="0"/>
        <charset val="1"/>
      </rPr>
      <t xml:space="preserve">(2001020215_20v4) — </t>
    </r>
    <r>
      <rPr>
        <sz val="10"/>
        <color rgb="FF0000FF"/>
        <rFont val="Noto Sans CJK SC"/>
        <family val="2"/>
      </rPr>
      <t xml:space="preserve">수준 </t>
    </r>
    <r>
      <rPr>
        <sz val="10"/>
        <color rgb="FF0000FF"/>
        <rFont val="맑은 고딕"/>
        <family val="0"/>
        <charset val="1"/>
      </rPr>
      <t xml:space="preserve">3</t>
    </r>
  </si>
  <si>
    <t xml:space="preserve">능력단위요소</t>
  </si>
  <si>
    <r>
      <rPr>
        <sz val="10"/>
        <color rgb="FF0000FF"/>
        <rFont val="Noto Sans CJK SC"/>
        <family val="2"/>
      </rPr>
      <t xml:space="preserve">① 기본문법 활용하기  ② 언어특성 활용하기  ③ 라이브러리 활용하기 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요소별 편성시간은 ②</t>
    </r>
    <r>
      <rPr>
        <sz val="10"/>
        <color rgb="FF0000FF"/>
        <rFont val="맑은 고딕"/>
        <family val="0"/>
        <charset val="1"/>
      </rPr>
      <t xml:space="preserve">NCS</t>
    </r>
    <r>
      <rPr>
        <sz val="10"/>
        <color rgb="FF0000FF"/>
        <rFont val="Noto Sans CJK SC"/>
        <family val="2"/>
      </rPr>
      <t xml:space="preserve">매핑 시트 자동 집계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</si>
  <si>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3. </t>
    </r>
    <r>
      <rPr>
        <b val="true"/>
        <sz val="11"/>
        <color rgb="FFFFFFFF"/>
        <rFont val="Noto Sans CJK SC"/>
        <family val="2"/>
      </rPr>
      <t xml:space="preserve">교육 목표 및 내용</t>
    </r>
  </si>
  <si>
    <r>
      <rPr>
        <b val="true"/>
        <sz val="10"/>
        <color rgb="FF000000"/>
        <rFont val="Noto Sans CJK SC"/>
        <family val="2"/>
      </rPr>
      <t xml:space="preserve">교과 목표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총괄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</si>
  <si>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파이썬의 기본 문법과 언어 특성을 이해하고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표준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외부 라이브러리를 활용하여 데이터 처리 및 소규모 응용 프로그램을 독립적으로 설계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구현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발표할 수 있다</t>
    </r>
    <r>
      <rPr>
        <sz val="10"/>
        <color rgb="FF0000FF"/>
        <rFont val="맑은 고딕"/>
        <family val="0"/>
        <charset val="1"/>
      </rPr>
      <t xml:space="preserve">.</t>
    </r>
  </si>
  <si>
    <t xml:space="preserve">세부 학습목표</t>
  </si>
  <si>
    <r>
      <rPr>
        <sz val="10"/>
        <color rgb="FF0000FF"/>
        <rFont val="맑은 고딕"/>
        <family val="0"/>
        <charset val="1"/>
      </rPr>
      <t xml:space="preserve">1) </t>
    </r>
    <r>
      <rPr>
        <sz val="10"/>
        <color rgb="FF0000FF"/>
        <rFont val="Noto Sans CJK SC"/>
        <family val="2"/>
      </rPr>
      <t xml:space="preserve">변수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자료형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연산자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제어문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자료구조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함수를 활용하여 요구사항에 맞는 프로그램을 작성할 수 있다</t>
    </r>
    <r>
      <rPr>
        <sz val="10"/>
        <color rgb="FF0000FF"/>
        <rFont val="맑은 고딕"/>
        <family val="0"/>
        <charset val="1"/>
      </rPr>
      <t xml:space="preserve">. (</t>
    </r>
    <r>
      <rPr>
        <sz val="10"/>
        <color rgb="FF0000FF"/>
        <rFont val="Noto Sans CJK SC"/>
        <family val="2"/>
      </rPr>
      <t xml:space="preserve">요소①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</si>
  <si>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2) </t>
    </r>
    <r>
      <rPr>
        <sz val="10"/>
        <color rgb="FF0000FF"/>
        <rFont val="Noto Sans CJK SC"/>
        <family val="2"/>
      </rPr>
      <t xml:space="preserve">모듈화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예외처리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객체지향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클래스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상속</t>
    </r>
    <r>
      <rPr>
        <sz val="10"/>
        <color rgb="FF0000FF"/>
        <rFont val="맑은 고딕"/>
        <family val="0"/>
        <charset val="1"/>
      </rPr>
      <t xml:space="preserve">) </t>
    </r>
    <r>
      <rPr>
        <sz val="10"/>
        <color rgb="FF0000FF"/>
        <rFont val="Noto Sans CJK SC"/>
        <family val="2"/>
      </rPr>
      <t xml:space="preserve">등 파이썬의 언어 특성을 적용하여 유지보수 가능한 코드를 작성할 수 있다</t>
    </r>
    <r>
      <rPr>
        <sz val="10"/>
        <color rgb="FF0000FF"/>
        <rFont val="맑은 고딕"/>
        <family val="0"/>
        <charset val="1"/>
      </rPr>
      <t xml:space="preserve">. (</t>
    </r>
    <r>
      <rPr>
        <sz val="10"/>
        <color rgb="FF0000FF"/>
        <rFont val="Noto Sans CJK SC"/>
        <family val="2"/>
      </rPr>
      <t xml:space="preserve">요소②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</si>
  <si>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3) </t>
    </r>
    <r>
      <rPr>
        <sz val="10"/>
        <color rgb="FF0000FF"/>
        <rFont val="Noto Sans CJK SC"/>
        <family val="2"/>
      </rPr>
      <t xml:space="preserve">표준 라이브러리와 외부 패키지</t>
    </r>
    <r>
      <rPr>
        <sz val="10"/>
        <color rgb="FF0000FF"/>
        <rFont val="맑은 고딕"/>
        <family val="0"/>
        <charset val="1"/>
      </rPr>
      <t xml:space="preserve">(pandas, matplotlib </t>
    </r>
    <r>
      <rPr>
        <sz val="10"/>
        <color rgb="FF0000FF"/>
        <rFont val="Noto Sans CJK SC"/>
        <family val="2"/>
      </rPr>
      <t xml:space="preserve">등</t>
    </r>
    <r>
      <rPr>
        <sz val="10"/>
        <color rgb="FF0000FF"/>
        <rFont val="맑은 고딕"/>
        <family val="0"/>
        <charset val="1"/>
      </rPr>
      <t xml:space="preserve">)</t>
    </r>
    <r>
      <rPr>
        <sz val="10"/>
        <color rgb="FF0000FF"/>
        <rFont val="Noto Sans CJK SC"/>
        <family val="2"/>
      </rPr>
      <t xml:space="preserve">를 검색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설치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활용하여 파일 및 데이터를 처리하고 시각화할 수 있다</t>
    </r>
    <r>
      <rPr>
        <sz val="10"/>
        <color rgb="FF0000FF"/>
        <rFont val="맑은 고딕"/>
        <family val="0"/>
        <charset val="1"/>
      </rPr>
      <t xml:space="preserve">. (</t>
    </r>
    <r>
      <rPr>
        <sz val="10"/>
        <color rgb="FF0000FF"/>
        <rFont val="Noto Sans CJK SC"/>
        <family val="2"/>
      </rPr>
      <t xml:space="preserve">요소③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</si>
  <si>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4) </t>
    </r>
    <r>
      <rPr>
        <sz val="10"/>
        <color rgb="FF0000FF"/>
        <rFont val="Noto Sans CJK SC"/>
        <family val="2"/>
      </rPr>
      <t xml:space="preserve">팀 단위 미니 프로젝트를 기획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구현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발표하고 </t>
    </r>
    <r>
      <rPr>
        <sz val="10"/>
        <color rgb="FF0000FF"/>
        <rFont val="맑은 고딕"/>
        <family val="0"/>
        <charset val="1"/>
      </rPr>
      <t xml:space="preserve">Git</t>
    </r>
    <r>
      <rPr>
        <sz val="10"/>
        <color rgb="FF0000FF"/>
        <rFont val="Noto Sans CJK SC"/>
        <family val="2"/>
      </rPr>
      <t xml:space="preserve">으로 산출물을 관리할 수 있다</t>
    </r>
    <r>
      <rPr>
        <sz val="10"/>
        <color rgb="FF0000FF"/>
        <rFont val="맑은 고딕"/>
        <family val="0"/>
        <charset val="1"/>
      </rPr>
      <t xml:space="preserve">. (KDT </t>
    </r>
    <r>
      <rPr>
        <sz val="10"/>
        <color rgb="FF0000FF"/>
        <rFont val="Noto Sans CJK SC"/>
        <family val="2"/>
      </rPr>
      <t xml:space="preserve">프로젝트 역량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</si>
  <si>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선수학습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입과요건</t>
    </r>
  </si>
  <si>
    <r>
      <rPr>
        <sz val="10"/>
        <color rgb="FF0000FF"/>
        <rFont val="Noto Sans CJK SC"/>
        <family val="2"/>
      </rPr>
      <t xml:space="preserve">컴퓨터 기본 조작 가능자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프로그래밍 경험 불필요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입과 전 사전 진단 테스트 실시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미달자는 사전 학습 자료 제공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</si>
  <si>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교수학습 방법</t>
  </si>
  <si>
    <r>
      <rPr>
        <sz val="10"/>
        <color rgb="FF0000FF"/>
        <rFont val="Noto Sans CJK SC"/>
        <family val="2"/>
      </rPr>
      <t xml:space="preserve">이론 강의</t>
    </r>
    <r>
      <rPr>
        <sz val="10"/>
        <color rgb="FF0000FF"/>
        <rFont val="맑은 고딕"/>
        <family val="0"/>
        <charset val="1"/>
      </rPr>
      <t xml:space="preserve">(30%) + </t>
    </r>
    <r>
      <rPr>
        <sz val="10"/>
        <color rgb="FF0000FF"/>
        <rFont val="Noto Sans CJK SC"/>
        <family val="2"/>
      </rPr>
      <t xml:space="preserve">라이브 코딩 실습</t>
    </r>
    <r>
      <rPr>
        <sz val="10"/>
        <color rgb="FF0000FF"/>
        <rFont val="맑은 고딕"/>
        <family val="0"/>
        <charset val="1"/>
      </rPr>
      <t xml:space="preserve">(50%) + </t>
    </r>
    <r>
      <rPr>
        <sz val="10"/>
        <color rgb="FF0000FF"/>
        <rFont val="Noto Sans CJK SC"/>
        <family val="2"/>
      </rPr>
      <t xml:space="preserve">팀 프로젝트</t>
    </r>
    <r>
      <rPr>
        <sz val="10"/>
        <color rgb="FF0000FF"/>
        <rFont val="맑은 고딕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발표</t>
    </r>
    <r>
      <rPr>
        <sz val="10"/>
        <color rgb="FF0000FF"/>
        <rFont val="맑은 고딕"/>
        <family val="0"/>
        <charset val="1"/>
      </rPr>
      <t xml:space="preserve">(20%). </t>
    </r>
    <r>
      <rPr>
        <sz val="10"/>
        <color rgb="FF0000FF"/>
        <rFont val="Noto Sans CJK SC"/>
        <family val="2"/>
      </rPr>
      <t xml:space="preserve">매 차시 실습 과제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격주 형성평가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종료 시 능력단위 내부평가</t>
    </r>
  </si>
  <si>
    <r>
      <rPr>
        <b val="true"/>
        <sz val="11"/>
        <color rgb="FFFFFFFF"/>
        <rFont val="맑은 고딕"/>
        <family val="0"/>
        <charset val="1"/>
      </rPr>
      <t xml:space="preserve">4. </t>
    </r>
    <r>
      <rPr>
        <b val="true"/>
        <sz val="11"/>
        <color rgb="FFFFFFFF"/>
        <rFont val="Noto Sans CJK SC"/>
        <family val="2"/>
      </rPr>
      <t xml:space="preserve">교재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장비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자료</t>
    </r>
  </si>
  <si>
    <t xml:space="preserve">주교재</t>
  </si>
  <si>
    <r>
      <rPr>
        <sz val="10"/>
        <color rgb="FF0000FF"/>
        <rFont val="Noto Sans CJK SC"/>
        <family val="2"/>
      </rPr>
      <t xml:space="preserve">자체 제작 교안</t>
    </r>
    <r>
      <rPr>
        <sz val="10"/>
        <color rgb="FF0000FF"/>
        <rFont val="맑은 고딕"/>
        <family val="0"/>
        <charset val="1"/>
      </rPr>
      <t xml:space="preserve">(PDF) + </t>
    </r>
    <r>
      <rPr>
        <sz val="10"/>
        <color rgb="FF0000FF"/>
        <rFont val="Noto Sans CJK SC"/>
        <family val="2"/>
      </rPr>
      <t xml:space="preserve">실습 노트북</t>
    </r>
    <r>
      <rPr>
        <sz val="10"/>
        <color rgb="FF0000FF"/>
        <rFont val="맑은 고딕"/>
        <family val="0"/>
        <charset val="1"/>
      </rPr>
      <t xml:space="preserve">(Jupyter)</t>
    </r>
  </si>
  <si>
    <r>
      <rPr>
        <b val="true"/>
        <sz val="10"/>
        <color rgb="FF000000"/>
        <rFont val="Noto Sans CJK SC"/>
        <family val="2"/>
      </rPr>
      <t xml:space="preserve">부교재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참고</t>
    </r>
  </si>
  <si>
    <r>
      <rPr>
        <sz val="10"/>
        <color rgb="FF0000FF"/>
        <rFont val="Noto Sans CJK SC"/>
        <family val="2"/>
      </rPr>
      <t xml:space="preserve">파이썬 공식 문서 </t>
    </r>
    <r>
      <rPr>
        <sz val="10"/>
        <color rgb="FF0000FF"/>
        <rFont val="맑은 고딕"/>
        <family val="0"/>
        <charset val="1"/>
      </rPr>
      <t xml:space="preserve">docs.python.org, NCS </t>
    </r>
    <r>
      <rPr>
        <sz val="10"/>
        <color rgb="FF0000FF"/>
        <rFont val="Noto Sans CJK SC"/>
        <family val="2"/>
      </rPr>
      <t xml:space="preserve">학습모듈 </t>
    </r>
    <r>
      <rPr>
        <sz val="10"/>
        <color rgb="FF0000FF"/>
        <rFont val="맑은 고딕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프로그래밍 언어 활용</t>
    </r>
    <r>
      <rPr>
        <sz val="10"/>
        <color rgb="FF0000FF"/>
        <rFont val="맑은 고딕"/>
        <family val="0"/>
        <charset val="1"/>
      </rPr>
      <t xml:space="preserve">'</t>
    </r>
  </si>
  <si>
    <r>
      <rPr>
        <b val="true"/>
        <sz val="10"/>
        <color rgb="FF000000"/>
        <rFont val="맑은 고딕"/>
        <family val="0"/>
        <charset val="1"/>
      </rPr>
      <t xml:space="preserve">SW/</t>
    </r>
    <r>
      <rPr>
        <b val="true"/>
        <sz val="10"/>
        <color rgb="FF000000"/>
        <rFont val="Noto Sans CJK SC"/>
        <family val="2"/>
      </rPr>
      <t xml:space="preserve">개발환경</t>
    </r>
  </si>
  <si>
    <t xml:space="preserve">Python 3.12, VS Code, Jupyter, Git/GitHub, pandas, matplotlib</t>
  </si>
  <si>
    <r>
      <rPr>
        <b val="true"/>
        <sz val="10"/>
        <color rgb="FF000000"/>
        <rFont val="맑은 고딕"/>
        <family val="0"/>
        <charset val="1"/>
      </rPr>
      <t xml:space="preserve">HW/</t>
    </r>
    <r>
      <rPr>
        <b val="true"/>
        <sz val="10"/>
        <color rgb="FF000000"/>
        <rFont val="Noto Sans CJK SC"/>
        <family val="2"/>
      </rPr>
      <t xml:space="preserve">장비</t>
    </r>
  </si>
  <si>
    <r>
      <rPr>
        <sz val="10"/>
        <color rgb="FF0000FF"/>
        <rFont val="Noto Sans CJK SC"/>
        <family val="2"/>
      </rPr>
      <t xml:space="preserve">실습용 </t>
    </r>
    <r>
      <rPr>
        <sz val="10"/>
        <color rgb="FF0000FF"/>
        <rFont val="맑은 고딕"/>
        <family val="0"/>
        <charset val="1"/>
      </rPr>
      <t xml:space="preserve">PC 25</t>
    </r>
    <r>
      <rPr>
        <sz val="10"/>
        <color rgb="FF0000FF"/>
        <rFont val="Noto Sans CJK SC"/>
        <family val="2"/>
      </rPr>
      <t xml:space="preserve">대</t>
    </r>
    <r>
      <rPr>
        <sz val="10"/>
        <color rgb="FF0000FF"/>
        <rFont val="맑은 고딕"/>
        <family val="0"/>
        <charset val="1"/>
      </rPr>
      <t xml:space="preserve">(8GB↑), </t>
    </r>
    <r>
      <rPr>
        <sz val="10"/>
        <color rgb="FF0000FF"/>
        <rFont val="Noto Sans CJK SC"/>
        <family val="2"/>
      </rPr>
      <t xml:space="preserve">빔프로젝터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전자칠판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화이트보드</t>
    </r>
  </si>
  <si>
    <r>
      <rPr>
        <b val="true"/>
        <sz val="10"/>
        <color rgb="FF000000"/>
        <rFont val="맑은 고딕"/>
        <family val="0"/>
        <charset val="1"/>
      </rPr>
      <t xml:space="preserve">LMS/</t>
    </r>
    <r>
      <rPr>
        <b val="true"/>
        <sz val="10"/>
        <color rgb="FF000000"/>
        <rFont val="Noto Sans CJK SC"/>
        <family val="2"/>
      </rPr>
      <t xml:space="preserve">소통 채널</t>
    </r>
  </si>
  <si>
    <r>
      <rPr>
        <sz val="10"/>
        <color rgb="FF0000FF"/>
        <rFont val="Noto Sans CJK SC"/>
        <family val="2"/>
      </rPr>
      <t xml:space="preserve">기관 </t>
    </r>
    <r>
      <rPr>
        <sz val="10"/>
        <color rgb="FF0000FF"/>
        <rFont val="맑은 고딕"/>
        <family val="0"/>
        <charset val="1"/>
      </rPr>
      <t xml:space="preserve">LMS(</t>
    </r>
    <r>
      <rPr>
        <sz val="10"/>
        <color rgb="FF0000FF"/>
        <rFont val="Noto Sans CJK SC"/>
        <family val="2"/>
      </rPr>
      <t xml:space="preserve">과제 제출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출결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슬랙 채널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질의응답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공지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</si>
  <si>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b val="true"/>
        <sz val="11"/>
        <color rgb="FFFFFFFF"/>
        <rFont val="맑은 고딕"/>
        <family val="0"/>
        <charset val="1"/>
      </rPr>
      <t xml:space="preserve">5. </t>
    </r>
    <r>
      <rPr>
        <b val="true"/>
        <sz val="11"/>
        <color rgb="FFFFFFFF"/>
        <rFont val="Noto Sans CJK SC"/>
        <family val="2"/>
      </rPr>
      <t xml:space="preserve">평가 개요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상세는 ⑤평가계획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</si>
  <si>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평가 방법</t>
  </si>
  <si>
    <t xml:space="preserve">이수 기준</t>
  </si>
  <si>
    <r>
      <rPr>
        <sz val="10"/>
        <color rgb="FF0000FF"/>
        <rFont val="Noto Sans CJK SC"/>
        <family val="2"/>
      </rPr>
      <t xml:space="preserve">출석률 </t>
    </r>
    <r>
      <rPr>
        <sz val="10"/>
        <color rgb="FF0000FF"/>
        <rFont val="맑은 고딕"/>
        <family val="0"/>
        <charset val="1"/>
      </rPr>
      <t xml:space="preserve">80% </t>
    </r>
    <r>
      <rPr>
        <sz val="10"/>
        <color rgb="FF0000FF"/>
        <rFont val="Noto Sans CJK SC"/>
        <family val="2"/>
      </rPr>
      <t xml:space="preserve">이상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과정평가형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능력단위별 </t>
    </r>
    <r>
      <rPr>
        <sz val="10"/>
        <color rgb="FF0000FF"/>
        <rFont val="맑은 고딕"/>
        <family val="0"/>
        <charset val="1"/>
      </rPr>
      <t xml:space="preserve">75% </t>
    </r>
    <r>
      <rPr>
        <sz val="10"/>
        <color rgb="FF0000FF"/>
        <rFont val="Noto Sans CJK SC"/>
        <family val="2"/>
      </rPr>
      <t xml:space="preserve">이상</t>
    </r>
    <r>
      <rPr>
        <sz val="10"/>
        <color rgb="FF0000FF"/>
        <rFont val="맑은 고딕"/>
        <family val="0"/>
        <charset val="1"/>
      </rPr>
      <t xml:space="preserve">) + </t>
    </r>
    <r>
      <rPr>
        <sz val="10"/>
        <color rgb="FF0000FF"/>
        <rFont val="Noto Sans CJK SC"/>
        <family val="2"/>
      </rPr>
      <t xml:space="preserve">모든 내부평가 참여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종합 </t>
    </r>
    <r>
      <rPr>
        <sz val="10"/>
        <color rgb="FF0000FF"/>
        <rFont val="맑은 고딕"/>
        <family val="0"/>
        <charset val="1"/>
      </rPr>
      <t xml:space="preserve">60</t>
    </r>
    <r>
      <rPr>
        <sz val="10"/>
        <color rgb="FF0000FF"/>
        <rFont val="Noto Sans CJK SC"/>
        <family val="2"/>
      </rPr>
      <t xml:space="preserve">점 이상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능력단위별 </t>
    </r>
    <r>
      <rPr>
        <sz val="10"/>
        <color rgb="FF0000FF"/>
        <rFont val="맑은 고딕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점 환산 성적을 별도 산출</t>
    </r>
  </si>
  <si>
    <r>
      <rPr>
        <b val="true"/>
        <sz val="10"/>
        <color rgb="FF000000"/>
        <rFont val="Noto Sans CJK SC"/>
        <family val="2"/>
      </rPr>
      <t xml:space="preserve">비고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특이사항</t>
    </r>
  </si>
  <si>
    <r>
      <rPr>
        <sz val="10"/>
        <color rgb="FF0000FF"/>
        <rFont val="Noto Sans CJK SC"/>
        <family val="2"/>
      </rPr>
      <t xml:space="preserve">본 교과 종료 후 </t>
    </r>
    <r>
      <rPr>
        <sz val="10"/>
        <color rgb="FF0000FF"/>
        <rFont val="맑은 고딕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웹 백엔드</t>
    </r>
    <r>
      <rPr>
        <sz val="10"/>
        <color rgb="FF0000FF"/>
        <rFont val="맑은 고딕"/>
        <family val="0"/>
        <charset val="1"/>
      </rPr>
      <t xml:space="preserve">(Django)' </t>
    </r>
    <r>
      <rPr>
        <sz val="10"/>
        <color rgb="FF0000FF"/>
        <rFont val="Noto Sans CJK SC"/>
        <family val="2"/>
      </rPr>
      <t xml:space="preserve">교과로 연계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프로젝트 산출물은 </t>
    </r>
    <r>
      <rPr>
        <sz val="10"/>
        <color rgb="FF0000FF"/>
        <rFont val="맑은 고딕"/>
        <family val="0"/>
        <charset val="1"/>
      </rPr>
      <t xml:space="preserve">GitHub </t>
    </r>
    <r>
      <rPr>
        <sz val="10"/>
        <color rgb="FF0000FF"/>
        <rFont val="Noto Sans CJK SC"/>
        <family val="2"/>
      </rPr>
      <t xml:space="preserve">저장소 링크로 제출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보관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증빙용</t>
    </r>
    <r>
      <rPr>
        <sz val="10"/>
        <color rgb="FF0000FF"/>
        <rFont val="맑은 고딕"/>
        <family val="0"/>
        <charset val="1"/>
      </rPr>
      <t xml:space="preserve">).</t>
    </r>
  </si>
  <si>
    <r>
      <rPr>
        <b val="true"/>
        <sz val="16"/>
        <color rgb="FF1F3864"/>
        <rFont val="맑은 고딕"/>
        <family val="0"/>
        <charset val="1"/>
      </rPr>
      <t xml:space="preserve">② NCS </t>
    </r>
    <r>
      <rPr>
        <b val="true"/>
        <sz val="16"/>
        <color rgb="FF1F3864"/>
        <rFont val="Noto Sans CJK SC"/>
        <family val="2"/>
      </rPr>
      <t xml:space="preserve">능력단위 매핑표</t>
    </r>
  </si>
  <si>
    <r>
      <rPr>
        <sz val="9"/>
        <color rgb="FF595959"/>
        <rFont val="Noto Sans CJK SC"/>
        <family val="2"/>
      </rPr>
      <t xml:space="preserve">능력단위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프로그래밍 언어 활용 </t>
    </r>
    <r>
      <rPr>
        <sz val="9"/>
        <color rgb="FF595959"/>
        <rFont val="맑은 고딕"/>
        <family val="0"/>
        <charset val="1"/>
      </rPr>
      <t xml:space="preserve">(2001020215_20v4) | </t>
    </r>
    <r>
      <rPr>
        <sz val="9"/>
        <color rgb="FF595959"/>
        <rFont val="Noto Sans CJK SC"/>
        <family val="2"/>
      </rPr>
      <t xml:space="preserve">요소별 편성시간은 ③주차별계획의 </t>
    </r>
    <r>
      <rPr>
        <sz val="9"/>
        <color rgb="FF595959"/>
        <rFont val="맑은 고딕"/>
        <family val="0"/>
        <charset val="1"/>
      </rPr>
      <t xml:space="preserve">'NCS</t>
    </r>
    <r>
      <rPr>
        <sz val="9"/>
        <color rgb="FF595959"/>
        <rFont val="Noto Sans CJK SC"/>
        <family val="2"/>
      </rPr>
      <t xml:space="preserve">요소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Noto Sans CJK SC"/>
        <family val="2"/>
      </rPr>
      <t xml:space="preserve">열에서 자동 집계 </t>
    </r>
    <r>
      <rPr>
        <sz val="9"/>
        <color rgb="FF595959"/>
        <rFont val="맑은 고딕"/>
        <family val="0"/>
        <charset val="1"/>
      </rPr>
      <t xml:space="preserve">| </t>
    </r>
    <r>
      <rPr>
        <sz val="9"/>
        <color rgb="FF595959"/>
        <rFont val="Noto Sans CJK SC"/>
        <family val="2"/>
      </rPr>
      <t xml:space="preserve">코드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버전은 </t>
    </r>
    <r>
      <rPr>
        <sz val="9"/>
        <color rgb="FF595959"/>
        <rFont val="맑은 고딕"/>
        <family val="0"/>
        <charset val="1"/>
      </rPr>
      <t xml:space="preserve">ncs.go.kr</t>
    </r>
    <r>
      <rPr>
        <sz val="9"/>
        <color rgb="FF595959"/>
        <rFont val="Noto Sans CJK SC"/>
        <family val="2"/>
      </rPr>
      <t xml:space="preserve">에서 최종 확인</t>
    </r>
  </si>
  <si>
    <r>
      <rPr>
        <b val="true"/>
        <sz val="10"/>
        <color rgb="FFFFFFFF"/>
        <rFont val="Noto Sans CJK SC"/>
        <family val="2"/>
      </rPr>
      <t xml:space="preserve">능력단위요소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코드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</si>
  <si>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수행준거 번호</t>
  </si>
  <si>
    <r>
      <rPr>
        <b val="true"/>
        <sz val="10"/>
        <color rgb="FFFFFFFF"/>
        <rFont val="Noto Sans CJK SC"/>
        <family val="2"/>
      </rPr>
      <t xml:space="preserve">수행준거 </t>
    </r>
    <r>
      <rPr>
        <b val="true"/>
        <sz val="10"/>
        <color rgb="FFFFFFFF"/>
        <rFont val="맑은 고딕"/>
        <family val="0"/>
        <charset val="1"/>
      </rPr>
      <t xml:space="preserve">(NCS </t>
    </r>
    <r>
      <rPr>
        <b val="true"/>
        <sz val="10"/>
        <color rgb="FFFFFFFF"/>
        <rFont val="Noto Sans CJK SC"/>
        <family val="2"/>
      </rPr>
      <t xml:space="preserve">원문 기준으로 기재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</si>
  <si>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연계 차시</t>
  </si>
  <si>
    <r>
      <rPr>
        <b val="true"/>
        <sz val="10"/>
        <color rgb="FFFFFFFF"/>
        <rFont val="Noto Sans CJK SC"/>
        <family val="2"/>
      </rPr>
      <t xml:space="preserve">편성시간</t>
    </r>
    <r>
      <rPr>
        <b val="true"/>
        <sz val="10"/>
        <color rgb="FFFFFFFF"/>
        <rFont val="맑은 고딕"/>
        <family val="0"/>
        <charset val="1"/>
      </rPr>
      <t xml:space="preserve">(h)</t>
    </r>
  </si>
  <si>
    <t xml:space="preserve">비율</t>
  </si>
  <si>
    <t xml:space="preserve">평가 차시</t>
  </si>
  <si>
    <r>
      <rPr>
        <b val="true"/>
        <sz val="10"/>
        <color rgb="FF0000FF"/>
        <rFont val="Noto Sans CJK SC"/>
        <family val="2"/>
      </rPr>
      <t xml:space="preserve">기본문법 활용하기
</t>
    </r>
    <r>
      <rPr>
        <b val="true"/>
        <sz val="10"/>
        <color rgb="FF0000FF"/>
        <rFont val="맑은 고딕"/>
        <family val="0"/>
        <charset val="1"/>
      </rPr>
      <t xml:space="preserve">(2001020215_20v4.1)</t>
    </r>
  </si>
  <si>
    <t xml:space="preserve">1.1</t>
  </si>
  <si>
    <r>
      <rPr>
        <sz val="10"/>
        <color rgb="FF0000FF"/>
        <rFont val="Noto Sans CJK SC"/>
        <family val="2"/>
      </rPr>
      <t xml:space="preserve">응용소프트웨어 개발에 필요한 프로그래밍 언어의 데이터 타입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변수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연산자를 활용하여 프로그램을 작성할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</si>
  <si>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맑은 고딕"/>
        <family val="0"/>
        <charset val="1"/>
      </rPr>
      <t xml:space="preserve">1~7</t>
    </r>
    <r>
      <rPr>
        <sz val="10"/>
        <color rgb="FF0000FF"/>
        <rFont val="Noto Sans CJK SC"/>
        <family val="2"/>
      </rPr>
      <t xml:space="preserve">차시</t>
    </r>
  </si>
  <si>
    <r>
      <rPr>
        <sz val="10"/>
        <color rgb="FF0000FF"/>
        <rFont val="Noto Sans CJK SC"/>
        <family val="2"/>
      </rPr>
      <t xml:space="preserve">형성평가①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실습과제</t>
    </r>
  </si>
  <si>
    <r>
      <rPr>
        <sz val="10"/>
        <color rgb="FF0000FF"/>
        <rFont val="맑은 고딕"/>
        <family val="0"/>
        <charset val="1"/>
      </rPr>
      <t xml:space="preserve">7</t>
    </r>
    <r>
      <rPr>
        <sz val="10"/>
        <color rgb="FF0000FF"/>
        <rFont val="Noto Sans CJK SC"/>
        <family val="2"/>
      </rPr>
      <t xml:space="preserve">차시</t>
    </r>
  </si>
  <si>
    <t xml:space="preserve">1.2</t>
  </si>
  <si>
    <r>
      <rPr>
        <sz val="10"/>
        <color rgb="FF0000FF"/>
        <rFont val="Noto Sans CJK SC"/>
        <family val="2"/>
      </rPr>
      <t xml:space="preserve">조건문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반복문 등 제어문을 활용하여 프로그램의 흐름을 구성할 수 있다</t>
    </r>
    <r>
      <rPr>
        <sz val="10"/>
        <color rgb="FF0000FF"/>
        <rFont val="맑은 고딕"/>
        <family val="0"/>
        <charset val="1"/>
      </rPr>
      <t xml:space="preserve">.</t>
    </r>
  </si>
  <si>
    <t xml:space="preserve">1.3</t>
  </si>
  <si>
    <r>
      <rPr>
        <sz val="10"/>
        <color rgb="FF0000FF"/>
        <rFont val="Noto Sans CJK SC"/>
        <family val="2"/>
      </rPr>
      <t xml:space="preserve">배열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리스트</t>
    </r>
    <r>
      <rPr>
        <sz val="10"/>
        <color rgb="FF0000FF"/>
        <rFont val="맑은 고딕"/>
        <family val="0"/>
        <charset val="1"/>
      </rPr>
      <t xml:space="preserve">)·</t>
    </r>
    <r>
      <rPr>
        <sz val="10"/>
        <color rgb="FF0000FF"/>
        <rFont val="Noto Sans CJK SC"/>
        <family val="2"/>
      </rPr>
      <t xml:space="preserve">딕셔너리 등 자료구조를 활용하여 데이터를 저장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처리할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</si>
  <si>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b val="true"/>
        <sz val="10"/>
        <color rgb="FF0000FF"/>
        <rFont val="Noto Sans CJK SC"/>
        <family val="2"/>
      </rPr>
      <t xml:space="preserve">언어특성 활용하기
</t>
    </r>
    <r>
      <rPr>
        <b val="true"/>
        <sz val="10"/>
        <color rgb="FF0000FF"/>
        <rFont val="맑은 고딕"/>
        <family val="0"/>
        <charset val="1"/>
      </rPr>
      <t xml:space="preserve">(2001020215_20v4.2)</t>
    </r>
  </si>
  <si>
    <t xml:space="preserve">2.1</t>
  </si>
  <si>
    <r>
      <rPr>
        <sz val="10"/>
        <color rgb="FF0000FF"/>
        <rFont val="Noto Sans CJK SC"/>
        <family val="2"/>
      </rPr>
      <t xml:space="preserve">함수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프로시저를 정의하고 매개변수와 반환값을 활용하여 모듈화된 프로그램을 작성할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</si>
  <si>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맑은 고딕"/>
        <family val="0"/>
        <charset val="1"/>
      </rPr>
      <t xml:space="preserve">8~9, 11, 13~14</t>
    </r>
    <r>
      <rPr>
        <sz val="10"/>
        <color rgb="FF0000FF"/>
        <rFont val="Noto Sans CJK SC"/>
        <family val="2"/>
      </rPr>
      <t xml:space="preserve">차시</t>
    </r>
  </si>
  <si>
    <r>
      <rPr>
        <sz val="10"/>
        <color rgb="FF0000FF"/>
        <rFont val="Noto Sans CJK SC"/>
        <family val="2"/>
      </rPr>
      <t xml:space="preserve">형성평가②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실습과제</t>
    </r>
  </si>
  <si>
    <r>
      <rPr>
        <sz val="10"/>
        <color rgb="FF0000FF"/>
        <rFont val="맑은 고딕"/>
        <family val="0"/>
        <charset val="1"/>
      </rPr>
      <t xml:space="preserve">14</t>
    </r>
    <r>
      <rPr>
        <sz val="10"/>
        <color rgb="FF0000FF"/>
        <rFont val="Noto Sans CJK SC"/>
        <family val="2"/>
      </rPr>
      <t xml:space="preserve">차시</t>
    </r>
  </si>
  <si>
    <t xml:space="preserve">2.2</t>
  </si>
  <si>
    <r>
      <rPr>
        <sz val="10"/>
        <color rgb="FF0000FF"/>
        <rFont val="Noto Sans CJK SC"/>
        <family val="2"/>
      </rPr>
      <t xml:space="preserve">예외처리 기법을 적용하여 오류에 안정적인 프로그램을 작성할 수 있다</t>
    </r>
    <r>
      <rPr>
        <sz val="10"/>
        <color rgb="FF0000FF"/>
        <rFont val="맑은 고딕"/>
        <family val="0"/>
        <charset val="1"/>
      </rPr>
      <t xml:space="preserve">.</t>
    </r>
  </si>
  <si>
    <t xml:space="preserve">2.3</t>
  </si>
  <si>
    <r>
      <rPr>
        <sz val="10"/>
        <color rgb="FF0000FF"/>
        <rFont val="Noto Sans CJK SC"/>
        <family val="2"/>
      </rPr>
      <t xml:space="preserve">객체지향 언어의 클래스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상속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다형성 특성을 활용하여 프로그램을 작성할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</si>
  <si>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b val="true"/>
        <sz val="10"/>
        <color rgb="FF0000FF"/>
        <rFont val="Noto Sans CJK SC"/>
        <family val="2"/>
      </rPr>
      <t xml:space="preserve">라이브러리 활용하기
</t>
    </r>
    <r>
      <rPr>
        <b val="true"/>
        <sz val="10"/>
        <color rgb="FF0000FF"/>
        <rFont val="맑은 고딕"/>
        <family val="0"/>
        <charset val="1"/>
      </rPr>
      <t xml:space="preserve">(2001020215_20v4.3)</t>
    </r>
  </si>
  <si>
    <t xml:space="preserve">3.1</t>
  </si>
  <si>
    <r>
      <rPr>
        <sz val="10"/>
        <color rgb="FF0000FF"/>
        <rFont val="Noto Sans CJK SC"/>
        <family val="2"/>
      </rPr>
      <t xml:space="preserve">표준 라이브러리를 검색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활용하여 프로그램에 필요한 기능을 구현할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</si>
  <si>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맑은 고딕"/>
        <family val="0"/>
        <charset val="1"/>
      </rPr>
      <t xml:space="preserve">10, 12, 15~17</t>
    </r>
    <r>
      <rPr>
        <sz val="10"/>
        <color rgb="FF0000FF"/>
        <rFont val="Noto Sans CJK SC"/>
        <family val="2"/>
      </rPr>
      <t xml:space="preserve">차시</t>
    </r>
  </si>
  <si>
    <r>
      <rPr>
        <sz val="10"/>
        <color rgb="FF0000FF"/>
        <rFont val="Noto Sans CJK SC"/>
        <family val="2"/>
      </rPr>
      <t xml:space="preserve">실습과제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지필평가</t>
    </r>
  </si>
  <si>
    <r>
      <rPr>
        <sz val="10"/>
        <color rgb="FF0000FF"/>
        <rFont val="맑은 고딕"/>
        <family val="0"/>
        <charset val="1"/>
      </rPr>
      <t xml:space="preserve">20</t>
    </r>
    <r>
      <rPr>
        <sz val="10"/>
        <color rgb="FF0000FF"/>
        <rFont val="Noto Sans CJK SC"/>
        <family val="2"/>
      </rPr>
      <t xml:space="preserve">차시</t>
    </r>
  </si>
  <si>
    <t xml:space="preserve">3.2</t>
  </si>
  <si>
    <r>
      <rPr>
        <sz val="10"/>
        <color rgb="FF0000FF"/>
        <rFont val="Noto Sans CJK SC"/>
        <family val="2"/>
      </rPr>
      <t xml:space="preserve">외부 라이브러리를 설치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활용하여 파일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데이터 처리 및 시각화 기능을 구현할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</si>
  <si>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b val="true"/>
        <sz val="10"/>
        <color rgb="FF0000FF"/>
        <rFont val="Noto Sans CJK SC"/>
        <family val="2"/>
      </rPr>
      <t xml:space="preserve">종합</t>
    </r>
    <r>
      <rPr>
        <b val="true"/>
        <sz val="10"/>
        <color rgb="FF0000FF"/>
        <rFont val="맑은 고딕"/>
        <family val="0"/>
        <charset val="1"/>
      </rPr>
      <t xml:space="preserve">(</t>
    </r>
    <r>
      <rPr>
        <b val="true"/>
        <sz val="10"/>
        <color rgb="FF0000FF"/>
        <rFont val="Noto Sans CJK SC"/>
        <family val="2"/>
      </rPr>
      <t xml:space="preserve">프로젝트</t>
    </r>
    <r>
      <rPr>
        <b val="true"/>
        <sz val="10"/>
        <color rgb="FF0000FF"/>
        <rFont val="맑은 고딕"/>
        <family val="0"/>
        <charset val="1"/>
      </rPr>
      <t xml:space="preserve">)
</t>
    </r>
    <r>
      <rPr>
        <b val="true"/>
        <sz val="10"/>
        <color rgb="FF0000FF"/>
        <rFont val="Noto Sans CJK SC"/>
        <family val="2"/>
      </rPr>
      <t xml:space="preserve">요소 ①②③ 통합</t>
    </r>
  </si>
  <si>
    <t xml:space="preserve">P</t>
  </si>
  <si>
    <r>
      <rPr>
        <sz val="10"/>
        <color rgb="FF0000FF"/>
        <rFont val="Noto Sans CJK SC"/>
        <family val="2"/>
      </rPr>
      <t xml:space="preserve">요구사항을 분석하고 기본문법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언어특성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라이브러리를 종합 활용하여 소규모 응용 프로그램을 구현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발표할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</si>
  <si>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맑은 고딕"/>
        <family val="0"/>
        <charset val="1"/>
      </rPr>
      <t xml:space="preserve">18~20</t>
    </r>
    <r>
      <rPr>
        <sz val="10"/>
        <color rgb="FF0000FF"/>
        <rFont val="Noto Sans CJK SC"/>
        <family val="2"/>
      </rPr>
      <t xml:space="preserve">차시</t>
    </r>
  </si>
  <si>
    <r>
      <rPr>
        <sz val="10"/>
        <color rgb="FF0000FF"/>
        <rFont val="Noto Sans CJK SC"/>
        <family val="2"/>
      </rPr>
      <t xml:space="preserve">실무평가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프로젝트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지필평가</t>
    </r>
  </si>
  <si>
    <t xml:space="preserve">합계</t>
  </si>
  <si>
    <r>
      <rPr>
        <sz val="9"/>
        <color rgb="FF595959"/>
        <rFont val="Noto Sans CJK SC"/>
        <family val="2"/>
      </rPr>
      <t xml:space="preserve">※ 수행준거 문장은 </t>
    </r>
    <r>
      <rPr>
        <sz val="9"/>
        <color rgb="FF595959"/>
        <rFont val="맑은 고딕"/>
        <family val="0"/>
        <charset val="1"/>
      </rPr>
      <t xml:space="preserve">NCS </t>
    </r>
    <r>
      <rPr>
        <sz val="9"/>
        <color rgb="FF595959"/>
        <rFont val="Noto Sans CJK SC"/>
        <family val="2"/>
      </rPr>
      <t xml:space="preserve">포털</t>
    </r>
    <r>
      <rPr>
        <sz val="9"/>
        <color rgb="FF595959"/>
        <rFont val="맑은 고딕"/>
        <family val="0"/>
        <charset val="1"/>
      </rPr>
      <t xml:space="preserve">(ncs.go.kr)</t>
    </r>
    <r>
      <rPr>
        <sz val="9"/>
        <color rgb="FF595959"/>
        <rFont val="Noto Sans CJK SC"/>
        <family val="2"/>
      </rPr>
      <t xml:space="preserve">의 능력단위 원문을 그대로 옮겨 적는다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위 문장은 샘플용 요약본이며</t>
    </r>
    <r>
      <rPr>
        <sz val="9"/>
        <color rgb="FF595959"/>
        <rFont val="맑은 고딕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심사 제출 전 원문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버전으로 교체할 것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과정평가형은 능력단위별 편성시간과 내부평가 시기가 편성기준과 일치해야 한다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</si>
  <si>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6"/>
        <color rgb="FF1F3864"/>
        <rFont val="Noto Sans CJK SC"/>
        <family val="2"/>
      </rPr>
      <t xml:space="preserve">③ 주차별</t>
    </r>
    <r>
      <rPr>
        <b val="true"/>
        <sz val="16"/>
        <color rgb="FF1F3864"/>
        <rFont val="맑은 고딕"/>
        <family val="0"/>
        <charset val="1"/>
      </rPr>
      <t xml:space="preserve">·</t>
    </r>
    <r>
      <rPr>
        <b val="true"/>
        <sz val="16"/>
        <color rgb="FF1F3864"/>
        <rFont val="Noto Sans CJK SC"/>
        <family val="2"/>
      </rPr>
      <t xml:space="preserve">차시별 훈련 계획</t>
    </r>
  </si>
  <si>
    <r>
      <rPr>
        <sz val="9"/>
        <color rgb="FF595959"/>
        <rFont val="Noto Sans CJK SC"/>
        <family val="2"/>
      </rPr>
      <t xml:space="preserve">교과목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파이썬 프로그래밍 기초 </t>
    </r>
    <r>
      <rPr>
        <sz val="9"/>
        <color rgb="FF595959"/>
        <rFont val="맑은 고딕"/>
        <family val="0"/>
        <charset val="1"/>
      </rPr>
      <t xml:space="preserve">| </t>
    </r>
    <r>
      <rPr>
        <sz val="9"/>
        <color rgb="FF595959"/>
        <rFont val="Noto Sans CJK SC"/>
        <family val="2"/>
      </rPr>
      <t xml:space="preserve">총 </t>
    </r>
    <r>
      <rPr>
        <sz val="9"/>
        <color rgb="FF595959"/>
        <rFont val="맑은 고딕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시간 </t>
    </r>
    <r>
      <rPr>
        <sz val="9"/>
        <color rgb="FF595959"/>
        <rFont val="맑은 고딕"/>
        <family val="0"/>
        <charset val="1"/>
      </rPr>
      <t xml:space="preserve">(10</t>
    </r>
    <r>
      <rPr>
        <sz val="9"/>
        <color rgb="FF595959"/>
        <rFont val="Noto Sans CJK SC"/>
        <family val="2"/>
      </rPr>
      <t xml:space="preserve">일 </t>
    </r>
    <r>
      <rPr>
        <sz val="9"/>
        <color rgb="FF595959"/>
        <rFont val="맑은 고딕"/>
        <family val="0"/>
        <charset val="1"/>
      </rPr>
      <t xml:space="preserve">× 4</t>
    </r>
    <r>
      <rPr>
        <sz val="9"/>
        <color rgb="FF595959"/>
        <rFont val="Noto Sans CJK SC"/>
        <family val="2"/>
      </rPr>
      <t xml:space="preserve">시간</t>
    </r>
    <r>
      <rPr>
        <sz val="9"/>
        <color rgb="FF595959"/>
        <rFont val="맑은 고딕"/>
        <family val="0"/>
        <charset val="1"/>
      </rPr>
      <t xml:space="preserve">, 1</t>
    </r>
    <r>
      <rPr>
        <sz val="9"/>
        <color rgb="FF595959"/>
        <rFont val="Noto Sans CJK SC"/>
        <family val="2"/>
      </rPr>
      <t xml:space="preserve">일 </t>
    </r>
    <r>
      <rPr>
        <sz val="9"/>
        <color rgb="FF595959"/>
        <rFont val="맑은 고딕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차시 </t>
    </r>
    <r>
      <rPr>
        <sz val="9"/>
        <color rgb="FF595959"/>
        <rFont val="맑은 고딕"/>
        <family val="0"/>
        <charset val="1"/>
      </rPr>
      <t xml:space="preserve">× 2</t>
    </r>
    <r>
      <rPr>
        <sz val="9"/>
        <color rgb="FF595959"/>
        <rFont val="Noto Sans CJK SC"/>
        <family val="2"/>
      </rPr>
      <t xml:space="preserve">시간</t>
    </r>
    <r>
      <rPr>
        <sz val="9"/>
        <color rgb="FF595959"/>
        <rFont val="맑은 고딕"/>
        <family val="0"/>
        <charset val="1"/>
      </rPr>
      <t xml:space="preserve">) | </t>
    </r>
    <r>
      <rPr>
        <sz val="9"/>
        <color rgb="FF595959"/>
        <rFont val="Noto Sans CJK SC"/>
        <family val="2"/>
      </rPr>
      <t xml:space="preserve">평가 차시는 훈련시간에 포함</t>
    </r>
  </si>
  <si>
    <t xml:space="preserve">일차</t>
  </si>
  <si>
    <t xml:space="preserve">차시</t>
  </si>
  <si>
    <r>
      <rPr>
        <b val="true"/>
        <sz val="10"/>
        <color rgb="FFFFFFFF"/>
        <rFont val="Noto Sans CJK SC"/>
        <family val="2"/>
      </rPr>
      <t xml:space="preserve">단원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대주제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</si>
  <si>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학습내용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소주제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활동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</si>
  <si>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이론</t>
    </r>
    <r>
      <rPr>
        <b val="true"/>
        <sz val="10"/>
        <color rgb="FFFFFFFF"/>
        <rFont val="맑은 고딕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</si>
  <si>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실습</t>
    </r>
    <r>
      <rPr>
        <b val="true"/>
        <sz val="10"/>
        <color rgb="FFFFFFFF"/>
        <rFont val="맑은 고딕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</si>
  <si>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평가</t>
    </r>
    <r>
      <rPr>
        <b val="true"/>
        <sz val="10"/>
        <color rgb="FFFFFFFF"/>
        <rFont val="맑은 고딕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</si>
  <si>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소계</t>
    </r>
    <r>
      <rPr>
        <b val="true"/>
        <sz val="10"/>
        <color rgb="FFFFFFFF"/>
        <rFont val="맑은 고딕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</si>
  <si>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평가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과제</t>
    </r>
  </si>
  <si>
    <r>
      <rPr>
        <b val="true"/>
        <sz val="10"/>
        <color rgb="FFFFFFFF"/>
        <rFont val="맑은 고딕"/>
        <family val="0"/>
        <charset val="1"/>
      </rPr>
      <t xml:space="preserve">NCS</t>
    </r>
    <r>
      <rPr>
        <b val="true"/>
        <sz val="10"/>
        <color rgb="FFFFFFFF"/>
        <rFont val="Noto Sans CJK SC"/>
        <family val="2"/>
      </rPr>
      <t xml:space="preserve">요소</t>
    </r>
  </si>
  <si>
    <r>
      <rPr>
        <sz val="10"/>
        <color rgb="FF0000FF"/>
        <rFont val="Noto Sans CJK SC"/>
        <family val="2"/>
      </rPr>
      <t xml:space="preserve">파이썬 개요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개발환경</t>
    </r>
  </si>
  <si>
    <r>
      <rPr>
        <sz val="10"/>
        <color rgb="FF0000FF"/>
        <rFont val="Noto Sans CJK SC"/>
        <family val="2"/>
      </rPr>
      <t xml:space="preserve">파이썬 특징과 활용 분야</t>
    </r>
    <r>
      <rPr>
        <sz val="10"/>
        <color rgb="FF0000FF"/>
        <rFont val="맑은 고딕"/>
        <family val="0"/>
        <charset val="1"/>
      </rPr>
      <t xml:space="preserve">, Python/VS Code/Jupyter </t>
    </r>
    <r>
      <rPr>
        <sz val="10"/>
        <color rgb="FF0000FF"/>
        <rFont val="Noto Sans CJK SC"/>
        <family val="2"/>
      </rPr>
      <t xml:space="preserve">설치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첫 프로그램 실행</t>
    </r>
    <r>
      <rPr>
        <sz val="10"/>
        <color rgb="FF0000FF"/>
        <rFont val="맑은 고딕"/>
        <family val="0"/>
        <charset val="1"/>
      </rPr>
      <t xml:space="preserve">, Git </t>
    </r>
    <r>
      <rPr>
        <sz val="10"/>
        <color rgb="FF0000FF"/>
        <rFont val="Noto Sans CJK SC"/>
        <family val="2"/>
      </rPr>
      <t xml:space="preserve">계정 생성</t>
    </r>
  </si>
  <si>
    <t xml:space="preserve">2001020215_20v4.1</t>
  </si>
  <si>
    <t xml:space="preserve">변수와 자료형</t>
  </si>
  <si>
    <r>
      <rPr>
        <sz val="10"/>
        <color rgb="FF0000FF"/>
        <rFont val="Noto Sans CJK SC"/>
        <family val="2"/>
      </rPr>
      <t xml:space="preserve">변수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상수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숫자</t>
    </r>
    <r>
      <rPr>
        <sz val="10"/>
        <color rgb="FF0000FF"/>
        <rFont val="맑은 고딕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문자열</t>
    </r>
    <r>
      <rPr>
        <sz val="10"/>
        <color rgb="FF0000FF"/>
        <rFont val="맑은 고딕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불리언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형변환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산술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비교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논리 연산자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입출력</t>
    </r>
    <r>
      <rPr>
        <sz val="10"/>
        <color rgb="FF0000FF"/>
        <rFont val="맑은 고딕"/>
        <family val="0"/>
        <charset val="1"/>
      </rPr>
      <t xml:space="preserve">(input/print)</t>
    </r>
  </si>
  <si>
    <t xml:space="preserve">문자열 처리</t>
  </si>
  <si>
    <r>
      <rPr>
        <sz val="10"/>
        <color rgb="FF0000FF"/>
        <rFont val="Noto Sans CJK SC"/>
        <family val="2"/>
      </rPr>
      <t xml:space="preserve">인덱싱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슬라이싱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문자열 메서드</t>
    </r>
    <r>
      <rPr>
        <sz val="10"/>
        <color rgb="FF0000FF"/>
        <rFont val="맑은 고딕"/>
        <family val="0"/>
        <charset val="1"/>
      </rPr>
      <t xml:space="preserve">, f-string </t>
    </r>
    <r>
      <rPr>
        <sz val="10"/>
        <color rgb="FF0000FF"/>
        <rFont val="Noto Sans CJK SC"/>
        <family val="2"/>
      </rPr>
      <t xml:space="preserve">포매팅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이스케이프</t>
    </r>
  </si>
  <si>
    <t xml:space="preserve">조건문</t>
  </si>
  <si>
    <r>
      <rPr>
        <sz val="10"/>
        <color rgb="FF0000FF"/>
        <rFont val="맑은 고딕"/>
        <family val="0"/>
        <charset val="1"/>
      </rPr>
      <t xml:space="preserve">if/elif/else, </t>
    </r>
    <r>
      <rPr>
        <sz val="10"/>
        <color rgb="FF0000FF"/>
        <rFont val="Noto Sans CJK SC"/>
        <family val="2"/>
      </rPr>
      <t xml:space="preserve">중첩 조건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논리 연산 결합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조건식 활용 실습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성적 계산기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</si>
  <si>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반복문</t>
  </si>
  <si>
    <r>
      <rPr>
        <sz val="10"/>
        <color rgb="FF0000FF"/>
        <rFont val="맑은 고딕"/>
        <family val="0"/>
        <charset val="1"/>
      </rPr>
      <t xml:space="preserve">for/while, range, break/continue, </t>
    </r>
    <r>
      <rPr>
        <sz val="10"/>
        <color rgb="FF0000FF"/>
        <rFont val="Noto Sans CJK SC"/>
        <family val="2"/>
      </rPr>
      <t xml:space="preserve">중첩 반복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패턴 출력 실습</t>
    </r>
  </si>
  <si>
    <t xml:space="preserve">리스트와 튜플</t>
  </si>
  <si>
    <r>
      <rPr>
        <sz val="10"/>
        <color rgb="FF0000FF"/>
        <rFont val="Noto Sans CJK SC"/>
        <family val="2"/>
      </rPr>
      <t xml:space="preserve">리스트 생성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수정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메서드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튜플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리스트 컴프리헨션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정렬</t>
    </r>
  </si>
  <si>
    <t xml:space="preserve">딕셔너리와 집합</t>
  </si>
  <si>
    <r>
      <rPr>
        <sz val="10"/>
        <color rgb="FF0000FF"/>
        <rFont val="맑은 고딕"/>
        <family val="0"/>
        <charset val="1"/>
      </rPr>
      <t xml:space="preserve">key-value </t>
    </r>
    <r>
      <rPr>
        <sz val="10"/>
        <color rgb="FF0000FF"/>
        <rFont val="Noto Sans CJK SC"/>
        <family val="2"/>
      </rPr>
      <t xml:space="preserve">구조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딕셔너리 메서드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집합 연산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자료구조 선택 기준</t>
    </r>
  </si>
  <si>
    <t xml:space="preserve">형성평가①</t>
  </si>
  <si>
    <t xml:space="preserve">함수 기초</t>
  </si>
  <si>
    <r>
      <rPr>
        <sz val="10"/>
        <color rgb="FF0000FF"/>
        <rFont val="Noto Sans CJK SC"/>
        <family val="2"/>
      </rPr>
      <t xml:space="preserve">함수 정의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호출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매개변수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반환값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기본값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가변 인자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독스트링</t>
    </r>
  </si>
  <si>
    <t xml:space="preserve">2001020215_20v4.2</t>
  </si>
  <si>
    <t xml:space="preserve">함수 심화</t>
  </si>
  <si>
    <r>
      <rPr>
        <sz val="10"/>
        <color rgb="FF0000FF"/>
        <rFont val="Noto Sans CJK SC"/>
        <family val="2"/>
      </rPr>
      <t xml:space="preserve">스코프</t>
    </r>
    <r>
      <rPr>
        <sz val="10"/>
        <color rgb="FF0000FF"/>
        <rFont val="맑은 고딕"/>
        <family val="0"/>
        <charset val="1"/>
      </rPr>
      <t xml:space="preserve">(global/nonlocal), </t>
    </r>
    <r>
      <rPr>
        <sz val="10"/>
        <color rgb="FF0000FF"/>
        <rFont val="Noto Sans CJK SC"/>
        <family val="2"/>
      </rPr>
      <t xml:space="preserve">람다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재귀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고차함수</t>
    </r>
    <r>
      <rPr>
        <sz val="10"/>
        <color rgb="FF0000FF"/>
        <rFont val="맑은 고딕"/>
        <family val="0"/>
        <charset val="1"/>
      </rPr>
      <t xml:space="preserve">(map/filter), </t>
    </r>
    <r>
      <rPr>
        <sz val="10"/>
        <color rgb="FF0000FF"/>
        <rFont val="Noto Sans CJK SC"/>
        <family val="2"/>
      </rPr>
      <t xml:space="preserve">타입 힌트</t>
    </r>
  </si>
  <si>
    <t xml:space="preserve">모듈과 패키지</t>
  </si>
  <si>
    <r>
      <rPr>
        <sz val="10"/>
        <color rgb="FF0000FF"/>
        <rFont val="맑은 고딕"/>
        <family val="0"/>
        <charset val="1"/>
      </rPr>
      <t xml:space="preserve">import </t>
    </r>
    <r>
      <rPr>
        <sz val="10"/>
        <color rgb="FF0000FF"/>
        <rFont val="Noto Sans CJK SC"/>
        <family val="2"/>
      </rPr>
      <t xml:space="preserve">구조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표준 라이브러리</t>
    </r>
    <r>
      <rPr>
        <sz val="10"/>
        <color rgb="FF0000FF"/>
        <rFont val="맑은 고딕"/>
        <family val="0"/>
        <charset val="1"/>
      </rPr>
      <t xml:space="preserve">(math, random, datetime, os), </t>
    </r>
    <r>
      <rPr>
        <sz val="10"/>
        <color rgb="FF0000FF"/>
        <rFont val="Noto Sans CJK SC"/>
        <family val="2"/>
      </rPr>
      <t xml:space="preserve">사용자 모듈 작성</t>
    </r>
  </si>
  <si>
    <t xml:space="preserve">2001020215_20v4.3</t>
  </si>
  <si>
    <t xml:space="preserve">예외 처리</t>
  </si>
  <si>
    <r>
      <rPr>
        <sz val="10"/>
        <color rgb="FF0000FF"/>
        <rFont val="맑은 고딕"/>
        <family val="0"/>
        <charset val="1"/>
      </rPr>
      <t xml:space="preserve">try/except/else/finally, </t>
    </r>
    <r>
      <rPr>
        <sz val="10"/>
        <color rgb="FF0000FF"/>
        <rFont val="Noto Sans CJK SC"/>
        <family val="2"/>
      </rPr>
      <t xml:space="preserve">예외 계층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사용자 정의 예외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방어적 코딩</t>
    </r>
  </si>
  <si>
    <t xml:space="preserve">파일 입출력</t>
  </si>
  <si>
    <r>
      <rPr>
        <sz val="10"/>
        <color rgb="FF0000FF"/>
        <rFont val="Noto Sans CJK SC"/>
        <family val="2"/>
      </rPr>
      <t xml:space="preserve">텍스트</t>
    </r>
    <r>
      <rPr>
        <sz val="10"/>
        <color rgb="FF0000FF"/>
        <rFont val="맑은 고딕"/>
        <family val="0"/>
        <charset val="1"/>
      </rPr>
      <t xml:space="preserve">/CSV/JSON </t>
    </r>
    <r>
      <rPr>
        <sz val="10"/>
        <color rgb="FF0000FF"/>
        <rFont val="Noto Sans CJK SC"/>
        <family val="2"/>
      </rPr>
      <t xml:space="preserve">읽기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쓰기</t>
    </r>
    <r>
      <rPr>
        <sz val="10"/>
        <color rgb="FF0000FF"/>
        <rFont val="맑은 고딕"/>
        <family val="0"/>
        <charset val="1"/>
      </rPr>
      <t xml:space="preserve">, with </t>
    </r>
    <r>
      <rPr>
        <sz val="10"/>
        <color rgb="FF0000FF"/>
        <rFont val="Noto Sans CJK SC"/>
        <family val="2"/>
      </rPr>
      <t xml:space="preserve">문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인코딩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로그 파일 처리 실습</t>
    </r>
  </si>
  <si>
    <t xml:space="preserve">클래스와 객체</t>
  </si>
  <si>
    <r>
      <rPr>
        <sz val="10"/>
        <color rgb="FF0000FF"/>
        <rFont val="Noto Sans CJK SC"/>
        <family val="2"/>
      </rPr>
      <t xml:space="preserve">클래스 정의</t>
    </r>
    <r>
      <rPr>
        <sz val="10"/>
        <color rgb="FF0000FF"/>
        <rFont val="맑은 고딕"/>
        <family val="0"/>
        <charset val="1"/>
      </rPr>
      <t xml:space="preserve">, __init__, </t>
    </r>
    <r>
      <rPr>
        <sz val="10"/>
        <color rgb="FF0000FF"/>
        <rFont val="Noto Sans CJK SC"/>
        <family val="2"/>
      </rPr>
      <t xml:space="preserve">인스턴스</t>
    </r>
    <r>
      <rPr>
        <sz val="10"/>
        <color rgb="FF0000FF"/>
        <rFont val="맑은 고딕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클래스 변수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메서드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캡슐화</t>
    </r>
  </si>
  <si>
    <t xml:space="preserve">상속과 다형성</t>
  </si>
  <si>
    <r>
      <rPr>
        <sz val="10"/>
        <color rgb="FF0000FF"/>
        <rFont val="Noto Sans CJK SC"/>
        <family val="2"/>
      </rPr>
      <t xml:space="preserve">상속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메서드 오버라이딩</t>
    </r>
    <r>
      <rPr>
        <sz val="10"/>
        <color rgb="FF0000FF"/>
        <rFont val="맑은 고딕"/>
        <family val="0"/>
        <charset val="1"/>
      </rPr>
      <t xml:space="preserve">, super(), </t>
    </r>
    <r>
      <rPr>
        <sz val="10"/>
        <color rgb="FF0000FF"/>
        <rFont val="Noto Sans CJK SC"/>
        <family val="2"/>
      </rPr>
      <t xml:space="preserve">특수 메서드</t>
    </r>
    <r>
      <rPr>
        <sz val="10"/>
        <color rgb="FF0000FF"/>
        <rFont val="맑은 고딕"/>
        <family val="0"/>
        <charset val="1"/>
      </rPr>
      <t xml:space="preserve">(__str__, __len__), </t>
    </r>
    <r>
      <rPr>
        <sz val="10"/>
        <color rgb="FF0000FF"/>
        <rFont val="Noto Sans CJK SC"/>
        <family val="2"/>
      </rPr>
      <t xml:space="preserve">객체지향 설계 실습</t>
    </r>
  </si>
  <si>
    <t xml:space="preserve">형성평가②</t>
  </si>
  <si>
    <t xml:space="preserve">외부 라이브러리 활용</t>
  </si>
  <si>
    <r>
      <rPr>
        <sz val="10"/>
        <color rgb="FF0000FF"/>
        <rFont val="맑은 고딕"/>
        <family val="0"/>
        <charset val="1"/>
      </rPr>
      <t xml:space="preserve">pip·</t>
    </r>
    <r>
      <rPr>
        <sz val="10"/>
        <color rgb="FF0000FF"/>
        <rFont val="Noto Sans CJK SC"/>
        <family val="2"/>
      </rPr>
      <t xml:space="preserve">가상환경</t>
    </r>
    <r>
      <rPr>
        <sz val="10"/>
        <color rgb="FF0000FF"/>
        <rFont val="맑은 고딕"/>
        <family val="0"/>
        <charset val="1"/>
      </rPr>
      <t xml:space="preserve">(venv), requests</t>
    </r>
    <r>
      <rPr>
        <sz val="10"/>
        <color rgb="FF0000FF"/>
        <rFont val="Noto Sans CJK SC"/>
        <family val="2"/>
      </rPr>
      <t xml:space="preserve">로 공개 </t>
    </r>
    <r>
      <rPr>
        <sz val="10"/>
        <color rgb="FF0000FF"/>
        <rFont val="맑은 고딕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호출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패키지 문서 읽는 법</t>
    </r>
  </si>
  <si>
    <r>
      <rPr>
        <sz val="10"/>
        <color rgb="FF0000FF"/>
        <rFont val="Noto Sans CJK SC"/>
        <family val="2"/>
      </rPr>
      <t xml:space="preserve">데이터 처리</t>
    </r>
    <r>
      <rPr>
        <sz val="10"/>
        <color rgb="FF0000FF"/>
        <rFont val="맑은 고딕"/>
        <family val="0"/>
        <charset val="1"/>
      </rPr>
      <t xml:space="preserve">(pandas </t>
    </r>
    <r>
      <rPr>
        <sz val="10"/>
        <color rgb="FF0000FF"/>
        <rFont val="Noto Sans CJK SC"/>
        <family val="2"/>
      </rPr>
      <t xml:space="preserve">기초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</si>
  <si>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DataFrame </t>
    </r>
    <r>
      <rPr>
        <sz val="10"/>
        <color rgb="FF0000FF"/>
        <rFont val="Noto Sans CJK SC"/>
        <family val="2"/>
      </rPr>
      <t xml:space="preserve">생성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조회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필터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집계</t>
    </r>
    <r>
      <rPr>
        <sz val="10"/>
        <color rgb="FF0000FF"/>
        <rFont val="맑은 고딕"/>
        <family val="0"/>
        <charset val="1"/>
      </rPr>
      <t xml:space="preserve">, CSV </t>
    </r>
    <r>
      <rPr>
        <sz val="10"/>
        <color rgb="FF0000FF"/>
        <rFont val="Noto Sans CJK SC"/>
        <family val="2"/>
      </rPr>
      <t xml:space="preserve">데이터 정제 실습</t>
    </r>
  </si>
  <si>
    <t xml:space="preserve">데이터 시각화</t>
  </si>
  <si>
    <r>
      <rPr>
        <sz val="10"/>
        <color rgb="FF0000FF"/>
        <rFont val="맑은 고딕"/>
        <family val="0"/>
        <charset val="1"/>
      </rPr>
      <t xml:space="preserve">matplotlib </t>
    </r>
    <r>
      <rPr>
        <sz val="10"/>
        <color rgb="FF0000FF"/>
        <rFont val="Noto Sans CJK SC"/>
        <family val="2"/>
      </rPr>
      <t xml:space="preserve">기본 차트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막대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선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산점도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제목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축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범례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결과 저장</t>
    </r>
  </si>
  <si>
    <r>
      <rPr>
        <sz val="10"/>
        <color rgb="FF0000FF"/>
        <rFont val="Noto Sans CJK SC"/>
        <family val="2"/>
      </rPr>
      <t xml:space="preserve">미니 프로젝트 기획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설계</t>
    </r>
  </si>
  <si>
    <r>
      <rPr>
        <sz val="10"/>
        <color rgb="FF0000FF"/>
        <rFont val="Noto Sans CJK SC"/>
        <family val="2"/>
      </rPr>
      <t xml:space="preserve">팀 편성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주제 선정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공공데이터 분석</t>
    </r>
    <r>
      <rPr>
        <sz val="10"/>
        <color rgb="FF0000FF"/>
        <rFont val="맑은 고딕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간단 </t>
    </r>
    <r>
      <rPr>
        <sz val="10"/>
        <color rgb="FF0000FF"/>
        <rFont val="맑은 고딕"/>
        <family val="0"/>
        <charset val="1"/>
      </rPr>
      <t xml:space="preserve">CLI </t>
    </r>
    <r>
      <rPr>
        <sz val="10"/>
        <color rgb="FF0000FF"/>
        <rFont val="Noto Sans CJK SC"/>
        <family val="2"/>
      </rPr>
      <t xml:space="preserve">앱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요구사항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기능 명세</t>
    </r>
    <r>
      <rPr>
        <sz val="10"/>
        <color rgb="FF0000FF"/>
        <rFont val="맑은 고딕"/>
        <family val="0"/>
        <charset val="1"/>
      </rPr>
      <t xml:space="preserve">, Git </t>
    </r>
    <r>
      <rPr>
        <sz val="10"/>
        <color rgb="FF0000FF"/>
        <rFont val="Noto Sans CJK SC"/>
        <family val="2"/>
      </rPr>
      <t xml:space="preserve">저장소 구성</t>
    </r>
  </si>
  <si>
    <r>
      <rPr>
        <sz val="10"/>
        <color rgb="FF0000FF"/>
        <rFont val="Noto Sans CJK SC"/>
        <family val="2"/>
      </rPr>
      <t xml:space="preserve">프로젝트</t>
    </r>
    <r>
      <rPr>
        <sz val="10"/>
        <color rgb="FF0000FF"/>
        <rFont val="맑은 고딕"/>
        <family val="0"/>
        <charset val="1"/>
      </rPr>
      <t xml:space="preserve">(①②③)</t>
    </r>
  </si>
  <si>
    <t xml:space="preserve">미니 프로젝트 구현</t>
  </si>
  <si>
    <r>
      <rPr>
        <sz val="10"/>
        <color rgb="FF0000FF"/>
        <rFont val="Noto Sans CJK SC"/>
        <family val="2"/>
      </rPr>
      <t xml:space="preserve">기능 구현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코드 리뷰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예외처리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리팩토링</t>
    </r>
    <r>
      <rPr>
        <sz val="10"/>
        <color rgb="FF0000FF"/>
        <rFont val="맑은 고딕"/>
        <family val="0"/>
        <charset val="1"/>
      </rPr>
      <t xml:space="preserve">, README </t>
    </r>
    <r>
      <rPr>
        <sz val="10"/>
        <color rgb="FF0000FF"/>
        <rFont val="Noto Sans CJK SC"/>
        <family val="2"/>
      </rPr>
      <t xml:space="preserve">작성</t>
    </r>
  </si>
  <si>
    <t xml:space="preserve">프로젝트 발표 및 내부평가</t>
  </si>
  <si>
    <r>
      <rPr>
        <sz val="10"/>
        <color rgb="FF0000FF"/>
        <rFont val="Noto Sans CJK SC"/>
        <family val="2"/>
      </rPr>
      <t xml:space="preserve">팀별 발표</t>
    </r>
    <r>
      <rPr>
        <sz val="10"/>
        <color rgb="FF0000FF"/>
        <rFont val="맑은 고딕"/>
        <family val="0"/>
        <charset val="1"/>
      </rPr>
      <t xml:space="preserve">(10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)·</t>
    </r>
    <r>
      <rPr>
        <sz val="10"/>
        <color rgb="FF0000FF"/>
        <rFont val="Noto Sans CJK SC"/>
        <family val="2"/>
      </rPr>
      <t xml:space="preserve">피드백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지필평가</t>
    </r>
    <r>
      <rPr>
        <sz val="10"/>
        <color rgb="FF0000FF"/>
        <rFont val="맑은 고딕"/>
        <family val="0"/>
        <charset val="1"/>
      </rPr>
      <t xml:space="preserve">(40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실무평가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코딩 과제 </t>
    </r>
    <r>
      <rPr>
        <sz val="10"/>
        <color rgb="FF0000FF"/>
        <rFont val="맑은 고딕"/>
        <family val="0"/>
        <charset val="1"/>
      </rPr>
      <t xml:space="preserve">60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</si>
  <si>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지필</t>
    </r>
    <r>
      <rPr>
        <sz val="10"/>
        <color rgb="FF0000FF"/>
        <rFont val="맑은 고딕"/>
        <family val="0"/>
        <charset val="1"/>
      </rPr>
      <t xml:space="preserve">+</t>
    </r>
    <r>
      <rPr>
        <sz val="10"/>
        <color rgb="FF0000FF"/>
        <rFont val="Noto Sans CJK SC"/>
        <family val="2"/>
      </rPr>
      <t xml:space="preserve">실무평가</t>
    </r>
  </si>
  <si>
    <r>
      <rPr>
        <b val="true"/>
        <sz val="10"/>
        <color rgb="FF000000"/>
        <rFont val="Noto Sans CJK SC"/>
        <family val="2"/>
      </rPr>
      <t xml:space="preserve">합계 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총 훈련시간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</si>
  <si>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Noto Sans CJK SC"/>
        <family val="2"/>
      </rPr>
      <t xml:space="preserve">분류 집계 → 이론 </t>
    </r>
    <r>
      <rPr>
        <b val="true"/>
        <sz val="10"/>
        <color rgb="FF000000"/>
        <rFont val="맑은 고딕"/>
        <family val="0"/>
        <charset val="1"/>
      </rPr>
      <t xml:space="preserve">/ </t>
    </r>
    <r>
      <rPr>
        <b val="true"/>
        <sz val="10"/>
        <color rgb="FF000000"/>
        <rFont val="Noto Sans CJK SC"/>
        <family val="2"/>
      </rPr>
      <t xml:space="preserve">실습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평가 포함</t>
    </r>
    <r>
      <rPr>
        <b val="true"/>
        <sz val="10"/>
        <color rgb="FF000000"/>
        <rFont val="맑은 고딕"/>
        <family val="0"/>
        <charset val="1"/>
      </rPr>
      <t xml:space="preserve">) / </t>
    </r>
    <r>
      <rPr>
        <b val="true"/>
        <sz val="10"/>
        <color rgb="FF000000"/>
        <rFont val="Noto Sans CJK SC"/>
        <family val="2"/>
      </rPr>
      <t xml:space="preserve">총계</t>
    </r>
  </si>
  <si>
    <r>
      <rPr>
        <sz val="9"/>
        <color rgb="FF595959"/>
        <rFont val="Noto Sans CJK SC"/>
        <family val="2"/>
      </rPr>
      <t xml:space="preserve">※ 실습 비율 </t>
    </r>
    <r>
      <rPr>
        <sz val="9"/>
        <color rgb="FF595959"/>
        <rFont val="맑은 고딕"/>
        <family val="0"/>
        <charset val="1"/>
      </rPr>
      <t xml:space="preserve">= G26/H26</t>
    </r>
  </si>
  <si>
    <r>
      <rPr>
        <sz val="9"/>
        <color rgb="FF595959"/>
        <rFont val="Noto Sans CJK SC"/>
        <family val="2"/>
      </rPr>
      <t xml:space="preserve">※ 작성 요령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차시 번호는 ④차시별지도안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훈련일지와 동일하게 유지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평가</t>
    </r>
    <r>
      <rPr>
        <sz val="9"/>
        <color rgb="FF595959"/>
        <rFont val="맑은 고딕"/>
        <family val="0"/>
        <charset val="1"/>
      </rPr>
      <t xml:space="preserve">(h)</t>
    </r>
    <r>
      <rPr>
        <sz val="9"/>
        <color rgb="FF595959"/>
        <rFont val="Noto Sans CJK SC"/>
        <family val="2"/>
      </rPr>
      <t xml:space="preserve">는 평가 실시 시간만 기재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훈련시간 포함</t>
    </r>
    <r>
      <rPr>
        <sz val="9"/>
        <color rgb="FF595959"/>
        <rFont val="맑은 고딕"/>
        <family val="0"/>
        <charset val="1"/>
      </rPr>
      <t xml:space="preserve">). NCS</t>
    </r>
    <r>
      <rPr>
        <sz val="9"/>
        <color rgb="FF595959"/>
        <rFont val="Noto Sans CJK SC"/>
        <family val="2"/>
      </rPr>
      <t xml:space="preserve">요소 열은 능력단위요소 코드 또는 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프로젝트</t>
    </r>
    <r>
      <rPr>
        <sz val="9"/>
        <color rgb="FF595959"/>
        <rFont val="맑은 고딕"/>
        <family val="0"/>
        <charset val="1"/>
      </rPr>
      <t xml:space="preserve">'</t>
    </r>
    <r>
      <rPr>
        <sz val="9"/>
        <color rgb="FF595959"/>
        <rFont val="Noto Sans CJK SC"/>
        <family val="2"/>
      </rPr>
      <t xml:space="preserve">로 표기하며 ②</t>
    </r>
    <r>
      <rPr>
        <sz val="9"/>
        <color rgb="FF595959"/>
        <rFont val="맑은 고딕"/>
        <family val="0"/>
        <charset val="1"/>
      </rPr>
      <t xml:space="preserve">NCS</t>
    </r>
    <r>
      <rPr>
        <sz val="9"/>
        <color rgb="FF595959"/>
        <rFont val="Noto Sans CJK SC"/>
        <family val="2"/>
      </rPr>
      <t xml:space="preserve">매핑에서 자동 집계됨</t>
    </r>
    <r>
      <rPr>
        <sz val="9"/>
        <color rgb="FF595959"/>
        <rFont val="맑은 고딕"/>
        <family val="0"/>
        <charset val="1"/>
      </rPr>
      <t xml:space="preserve">.</t>
    </r>
  </si>
  <si>
    <t xml:space="preserve">④ 차시별 상세 지도안</t>
  </si>
  <si>
    <r>
      <rPr>
        <sz val="9"/>
        <color rgb="FF595959"/>
        <rFont val="Noto Sans CJK SC"/>
        <family val="2"/>
      </rPr>
      <t xml:space="preserve">차시 </t>
    </r>
    <r>
      <rPr>
        <sz val="9"/>
        <color rgb="FF595959"/>
        <rFont val="맑은 고딕"/>
        <family val="0"/>
        <charset val="1"/>
      </rPr>
      <t xml:space="preserve">= 2</t>
    </r>
    <r>
      <rPr>
        <sz val="9"/>
        <color rgb="FF595959"/>
        <rFont val="Noto Sans CJK SC"/>
        <family val="2"/>
      </rPr>
      <t xml:space="preserve">시간</t>
    </r>
    <r>
      <rPr>
        <sz val="9"/>
        <color rgb="FF595959"/>
        <rFont val="맑은 고딕"/>
        <family val="0"/>
        <charset val="1"/>
      </rPr>
      <t xml:space="preserve">(120</t>
    </r>
    <r>
      <rPr>
        <sz val="9"/>
        <color rgb="FF595959"/>
        <rFont val="Noto Sans CJK SC"/>
        <family val="2"/>
      </rPr>
      <t xml:space="preserve">분</t>
    </r>
    <r>
      <rPr>
        <sz val="9"/>
        <color rgb="FF595959"/>
        <rFont val="맑은 고딕"/>
        <family val="0"/>
        <charset val="1"/>
      </rPr>
      <t xml:space="preserve">: 50</t>
    </r>
    <r>
      <rPr>
        <sz val="9"/>
        <color rgb="FF595959"/>
        <rFont val="Noto Sans CJK SC"/>
        <family val="2"/>
      </rPr>
      <t xml:space="preserve">분 수업 </t>
    </r>
    <r>
      <rPr>
        <sz val="9"/>
        <color rgb="FF595959"/>
        <rFont val="맑은 고딕"/>
        <family val="0"/>
        <charset val="1"/>
      </rPr>
      <t xml:space="preserve">+ 10</t>
    </r>
    <r>
      <rPr>
        <sz val="9"/>
        <color rgb="FF595959"/>
        <rFont val="Noto Sans CJK SC"/>
        <family val="2"/>
      </rPr>
      <t xml:space="preserve">분 휴식 </t>
    </r>
    <r>
      <rPr>
        <sz val="9"/>
        <color rgb="FF595959"/>
        <rFont val="맑은 고딕"/>
        <family val="0"/>
        <charset val="1"/>
      </rPr>
      <t xml:space="preserve">× 2) | </t>
    </r>
    <r>
      <rPr>
        <sz val="9"/>
        <color rgb="FF595959"/>
        <rFont val="Noto Sans CJK SC"/>
        <family val="2"/>
      </rPr>
      <t xml:space="preserve">도입 → 전개 → 정리 </t>
    </r>
    <r>
      <rPr>
        <sz val="9"/>
        <color rgb="FF595959"/>
        <rFont val="맑은 고딕"/>
        <family val="0"/>
        <charset val="1"/>
      </rPr>
      <t xml:space="preserve">| ③</t>
    </r>
    <r>
      <rPr>
        <sz val="9"/>
        <color rgb="FF595959"/>
        <rFont val="Noto Sans CJK SC"/>
        <family val="2"/>
      </rPr>
      <t xml:space="preserve">주차별계획과 차시 번호 일치</t>
    </r>
  </si>
  <si>
    <r>
      <rPr>
        <b val="true"/>
        <sz val="10"/>
        <color rgb="FFFFFFFF"/>
        <rFont val="Noto Sans CJK SC"/>
        <family val="2"/>
      </rPr>
      <t xml:space="preserve">학습주제 </t>
    </r>
    <r>
      <rPr>
        <b val="true"/>
        <sz val="10"/>
        <color rgb="FFFFFFFF"/>
        <rFont val="맑은 고딕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학습목표</t>
    </r>
  </si>
  <si>
    <t xml:space="preserve">단계</t>
  </si>
  <si>
    <r>
      <rPr>
        <b val="true"/>
        <sz val="10"/>
        <color rgb="FFFFFFFF"/>
        <rFont val="Noto Sans CJK SC"/>
        <family val="2"/>
      </rPr>
      <t xml:space="preserve">시간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분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</si>
  <si>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교수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학습 활동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강사 ↔ 훈련생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</si>
  <si>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교수자료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도구</t>
    </r>
  </si>
  <si>
    <r>
      <rPr>
        <b val="true"/>
        <sz val="10"/>
        <color rgb="FFFFFFFF"/>
        <rFont val="Noto Sans CJK SC"/>
        <family val="2"/>
      </rPr>
      <t xml:space="preserve">평가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과제</t>
    </r>
  </si>
  <si>
    <t xml:space="preserve">비고</t>
  </si>
  <si>
    <r>
      <rPr>
        <sz val="10"/>
        <color rgb="FF0000FF"/>
        <rFont val="Noto Sans CJK SC"/>
        <family val="2"/>
      </rPr>
      <t xml:space="preserve">파이썬 개요와 개발환경 구축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개발환경을 설치하고 첫 프로그램을 실행할 수 있다</t>
    </r>
    <r>
      <rPr>
        <sz val="10"/>
        <color rgb="FF0000FF"/>
        <rFont val="맑은 고딕"/>
        <family val="0"/>
        <charset val="1"/>
      </rPr>
      <t xml:space="preserve">.</t>
    </r>
  </si>
  <si>
    <t xml:space="preserve">도입</t>
  </si>
  <si>
    <r>
      <rPr>
        <sz val="10"/>
        <color rgb="FF0000FF"/>
        <rFont val="Noto Sans CJK SC"/>
        <family val="2"/>
      </rPr>
      <t xml:space="preserve">오리엔테이션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교과 목표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평가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출결 안내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파이썬 활용 사례 소개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사전 진단 결과 공유</t>
    </r>
  </si>
  <si>
    <r>
      <rPr>
        <sz val="10"/>
        <color rgb="FF0000FF"/>
        <rFont val="Noto Sans CJK SC"/>
        <family val="2"/>
      </rPr>
      <t xml:space="preserve">교과개요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훈련생안내 시트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사례 영상</t>
    </r>
  </si>
  <si>
    <t xml:space="preserve">전개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</si>
  <si>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Python·VS Code·Jupyter </t>
    </r>
    <r>
      <rPr>
        <sz val="10"/>
        <color rgb="FF0000FF"/>
        <rFont val="Noto Sans CJK SC"/>
        <family val="2"/>
      </rPr>
      <t xml:space="preserve">설치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개별 설치</t>
    </r>
    <r>
      <rPr>
        <sz val="10"/>
        <color rgb="FF0000FF"/>
        <rFont val="맑은 고딕"/>
        <family val="0"/>
        <charset val="1"/>
      </rPr>
      <t xml:space="preserve">, print('Hello') </t>
    </r>
    <r>
      <rPr>
        <sz val="10"/>
        <color rgb="FF0000FF"/>
        <rFont val="Noto Sans CJK SC"/>
        <family val="2"/>
      </rPr>
      <t xml:space="preserve">실행</t>
    </r>
    <r>
      <rPr>
        <sz val="10"/>
        <color rgb="FF0000FF"/>
        <rFont val="맑은 고딕"/>
        <family val="0"/>
        <charset val="1"/>
      </rPr>
      <t xml:space="preserve">, Git </t>
    </r>
    <r>
      <rPr>
        <sz val="10"/>
        <color rgb="FF0000FF"/>
        <rFont val="Noto Sans CJK SC"/>
        <family val="2"/>
      </rPr>
      <t xml:space="preserve">계정 생성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순회 점검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오류 해결</t>
    </r>
  </si>
  <si>
    <r>
      <rPr>
        <sz val="10"/>
        <color rgb="FF0000FF"/>
        <rFont val="Noto Sans CJK SC"/>
        <family val="2"/>
      </rPr>
      <t xml:space="preserve">설치 가이드 </t>
    </r>
    <r>
      <rPr>
        <sz val="10"/>
        <color rgb="FF0000FF"/>
        <rFont val="맑은 고딕"/>
        <family val="0"/>
        <charset val="1"/>
      </rPr>
      <t xml:space="preserve">PDF, </t>
    </r>
    <r>
      <rPr>
        <sz val="10"/>
        <color rgb="FF0000FF"/>
        <rFont val="Noto Sans CJK SC"/>
        <family val="2"/>
      </rPr>
      <t xml:space="preserve">체크리스트</t>
    </r>
  </si>
  <si>
    <t xml:space="preserve">정리</t>
  </si>
  <si>
    <r>
      <rPr>
        <sz val="10"/>
        <color rgb="FF0000FF"/>
        <rFont val="Noto Sans CJK SC"/>
        <family val="2"/>
      </rPr>
      <t xml:space="preserve">설치 체크리스트 제출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다음 차시 예고</t>
    </r>
  </si>
  <si>
    <r>
      <rPr>
        <sz val="10"/>
        <color rgb="FF0000FF"/>
        <rFont val="맑은 고딕"/>
        <family val="0"/>
        <charset val="1"/>
      </rPr>
      <t xml:space="preserve">LMS </t>
    </r>
    <r>
      <rPr>
        <sz val="10"/>
        <color rgb="FF0000FF"/>
        <rFont val="Noto Sans CJK SC"/>
        <family val="2"/>
      </rPr>
      <t xml:space="preserve">체크리스트</t>
    </r>
  </si>
  <si>
    <t xml:space="preserve">체크리스트</t>
  </si>
  <si>
    <t xml:space="preserve">소계</t>
  </si>
  <si>
    <r>
      <rPr>
        <sz val="10"/>
        <color rgb="FF0000FF"/>
        <rFont val="Noto Sans CJK SC"/>
        <family val="2"/>
      </rPr>
      <t xml:space="preserve">변수와 자료형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연산자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변수와 기본 자료형을 선언하고 연산자로 값을 계산할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</si>
  <si>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전 차시 복습 퀴즈</t>
    </r>
    <r>
      <rPr>
        <sz val="10"/>
        <color rgb="FF0000FF"/>
        <rFont val="맑은 고딕"/>
        <family val="0"/>
        <charset val="1"/>
      </rPr>
      <t xml:space="preserve">(3</t>
    </r>
    <r>
      <rPr>
        <sz val="10"/>
        <color rgb="FF0000FF"/>
        <rFont val="Noto Sans CJK SC"/>
        <family val="2"/>
      </rPr>
      <t xml:space="preserve">문항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일상 속 데이터 유형 예시로 자료형 동기 유발</t>
    </r>
  </si>
  <si>
    <r>
      <rPr>
        <sz val="10"/>
        <color rgb="FF0000FF"/>
        <rFont val="Noto Sans CJK SC"/>
        <family val="2"/>
      </rPr>
      <t xml:space="preserve">슬라이드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퀴즈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멘티미터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</si>
  <si>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변수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자료형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형변환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연산자 라이브 코딩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따라하기 → 실습</t>
    </r>
    <r>
      <rPr>
        <sz val="10"/>
        <color rgb="FF0000FF"/>
        <rFont val="맑은 고딕"/>
        <family val="0"/>
        <charset val="1"/>
      </rPr>
      <t xml:space="preserve">: BMI </t>
    </r>
    <r>
      <rPr>
        <sz val="10"/>
        <color rgb="FF0000FF"/>
        <rFont val="Noto Sans CJK SC"/>
        <family val="2"/>
      </rPr>
      <t xml:space="preserve">계산기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거스름돈 계산 → 페어 코드 리뷰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</si>
  <si>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02, </t>
    </r>
    <r>
      <rPr>
        <sz val="10"/>
        <color rgb="FF0000FF"/>
        <rFont val="Noto Sans CJK SC"/>
        <family val="2"/>
      </rPr>
      <t xml:space="preserve">실습 문제지</t>
    </r>
  </si>
  <si>
    <r>
      <rPr>
        <sz val="10"/>
        <color rgb="FF0000FF"/>
        <rFont val="Noto Sans CJK SC"/>
        <family val="2"/>
      </rPr>
      <t xml:space="preserve">핵심 정리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02(</t>
    </r>
    <r>
      <rPr>
        <sz val="10"/>
        <color rgb="FF0000FF"/>
        <rFont val="Noto Sans CJK SC"/>
        <family val="2"/>
      </rPr>
      <t xml:space="preserve">온도 변환기</t>
    </r>
    <r>
      <rPr>
        <sz val="10"/>
        <color rgb="FF0000FF"/>
        <rFont val="맑은 고딕"/>
        <family val="0"/>
        <charset val="1"/>
      </rPr>
      <t xml:space="preserve">)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</si>
  <si>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맑은 고딕"/>
        <family val="0"/>
        <charset val="1"/>
      </rPr>
      <t xml:space="preserve">LMS </t>
    </r>
    <r>
      <rPr>
        <sz val="10"/>
        <color rgb="FF0000FF"/>
        <rFont val="Noto Sans CJK SC"/>
        <family val="2"/>
      </rPr>
      <t xml:space="preserve">과제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</si>
  <si>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02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</si>
  <si>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문자열 처리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문자열 메서드와 포매팅으로 텍스트를 가공할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</si>
  <si>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02 </t>
    </r>
    <r>
      <rPr>
        <sz val="10"/>
        <color rgb="FF0000FF"/>
        <rFont val="Noto Sans CJK SC"/>
        <family val="2"/>
      </rPr>
      <t xml:space="preserve">우수 코드 공유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문자열 처리 실무 사례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로그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이름 정제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</si>
  <si>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과제 피드백 자료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</si>
  <si>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인덱싱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슬라이싱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메서드</t>
    </r>
    <r>
      <rPr>
        <sz val="10"/>
        <color rgb="FF0000FF"/>
        <rFont val="맑은 고딕"/>
        <family val="0"/>
        <charset val="1"/>
      </rPr>
      <t xml:space="preserve">·f-string </t>
    </r>
    <r>
      <rPr>
        <sz val="10"/>
        <color rgb="FF0000FF"/>
        <rFont val="Noto Sans CJK SC"/>
        <family val="2"/>
      </rPr>
      <t xml:space="preserve">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이메일 도메인 추출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주민번호 마스킹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문자열 역순 판별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</si>
  <si>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03</t>
    </r>
  </si>
  <si>
    <r>
      <rPr>
        <sz val="10"/>
        <color rgb="FF0000FF"/>
        <rFont val="Noto Sans CJK SC"/>
        <family val="2"/>
      </rPr>
      <t xml:space="preserve">정리 퀴즈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03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</si>
  <si>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03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</si>
  <si>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조건문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조건에 따라 프로그램 흐름을 분기할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</si>
  <si>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순서도로 분기 개념 소개</t>
    </r>
    <r>
      <rPr>
        <sz val="10"/>
        <color rgb="FF0000FF"/>
        <rFont val="맑은 고딕"/>
        <family val="0"/>
        <charset val="1"/>
      </rPr>
      <t xml:space="preserve">, '</t>
    </r>
    <r>
      <rPr>
        <sz val="10"/>
        <color rgb="FF0000FF"/>
        <rFont val="Noto Sans CJK SC"/>
        <family val="2"/>
      </rPr>
      <t xml:space="preserve">성적 등급 판정</t>
    </r>
    <r>
      <rPr>
        <sz val="10"/>
        <color rgb="FF0000FF"/>
        <rFont val="맑은 고딕"/>
        <family val="0"/>
        <charset val="1"/>
      </rPr>
      <t xml:space="preserve">' </t>
    </r>
    <r>
      <rPr>
        <sz val="10"/>
        <color rgb="FF0000FF"/>
        <rFont val="Noto Sans CJK SC"/>
        <family val="2"/>
      </rPr>
      <t xml:space="preserve">문제 제시</t>
    </r>
  </si>
  <si>
    <t xml:space="preserve">순서도 슬라이드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</si>
  <si>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if/elif/else·</t>
    </r>
    <r>
      <rPr>
        <sz val="10"/>
        <color rgb="FF0000FF"/>
        <rFont val="Noto Sans CJK SC"/>
        <family val="2"/>
      </rPr>
      <t xml:space="preserve">중첩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논리 결합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성적 계산기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윤년 판별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로그인 검증 → 코드 리뷰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</si>
  <si>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04</t>
    </r>
  </si>
  <si>
    <r>
      <rPr>
        <sz val="10"/>
        <color rgb="FF0000FF"/>
        <rFont val="Noto Sans CJK SC"/>
        <family val="2"/>
      </rPr>
      <t xml:space="preserve">자주 하는 실수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들여쓰기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비교연산</t>
    </r>
    <r>
      <rPr>
        <sz val="10"/>
        <color rgb="FF0000FF"/>
        <rFont val="맑은 고딕"/>
        <family val="0"/>
        <charset val="1"/>
      </rPr>
      <t xml:space="preserve">) </t>
    </r>
    <r>
      <rPr>
        <sz val="10"/>
        <color rgb="FF0000FF"/>
        <rFont val="Noto Sans CJK SC"/>
        <family val="2"/>
      </rPr>
      <t xml:space="preserve">정리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04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</si>
  <si>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04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</si>
  <si>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반복문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반복문으로 반복 작업을 자동화할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</si>
  <si>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반복 자동화 사례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엑셀 반복작업 대체</t>
    </r>
    <r>
      <rPr>
        <sz val="10"/>
        <color rgb="FF0000FF"/>
        <rFont val="맑은 고딕"/>
        <family val="0"/>
        <charset val="1"/>
      </rPr>
      <t xml:space="preserve">) </t>
    </r>
    <r>
      <rPr>
        <sz val="10"/>
        <color rgb="FF0000FF"/>
        <rFont val="Noto Sans CJK SC"/>
        <family val="2"/>
      </rPr>
      <t xml:space="preserve">소개</t>
    </r>
  </si>
  <si>
    <t xml:space="preserve">사례 슬라이드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</si>
  <si>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for/while·range·break/continue·</t>
    </r>
    <r>
      <rPr>
        <sz val="10"/>
        <color rgb="FF0000FF"/>
        <rFont val="Noto Sans CJK SC"/>
        <family val="2"/>
      </rPr>
      <t xml:space="preserve">중첩 반복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구구단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별 패턴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소수 찾기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숫자 맞히기 게임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</si>
  <si>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05</t>
    </r>
  </si>
  <si>
    <r>
      <rPr>
        <sz val="10"/>
        <color rgb="FF0000FF"/>
        <rFont val="Noto Sans CJK SC"/>
        <family val="2"/>
      </rPr>
      <t xml:space="preserve">정리 퀴즈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05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</si>
  <si>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05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</si>
  <si>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리스트와 튜플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리스트를 생성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수정하고 컴프리헨션으로 처리할 수 있다</t>
    </r>
    <r>
      <rPr>
        <sz val="10"/>
        <color rgb="FF0000FF"/>
        <rFont val="맑은 고딕"/>
        <family val="0"/>
        <charset val="1"/>
      </rPr>
      <t xml:space="preserve">.</t>
    </r>
  </si>
  <si>
    <t xml:space="preserve">여러 값을 하나의 변수로 관리해야 하는 상황 제시</t>
  </si>
  <si>
    <t xml:space="preserve">슬라이드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</si>
  <si>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리스트 메서드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슬라이싱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정렬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컴프리헨션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성적 통계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중복 제거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장바구니 프로그램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</si>
  <si>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06</t>
    </r>
  </si>
  <si>
    <r>
      <rPr>
        <sz val="10"/>
        <color rgb="FF0000FF"/>
        <rFont val="Noto Sans CJK SC"/>
        <family val="2"/>
      </rPr>
      <t xml:space="preserve">리스트 </t>
    </r>
    <r>
      <rPr>
        <sz val="10"/>
        <color rgb="FF0000FF"/>
        <rFont val="맑은 고딕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튜플 비교 정리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06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</si>
  <si>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06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</si>
  <si>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딕셔너리와 집합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상황에 맞는 자료구조를 선택해 데이터를 처리할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</si>
  <si>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형성평가① 안내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범위</t>
    </r>
    <r>
      <rPr>
        <sz val="10"/>
        <color rgb="FF0000FF"/>
        <rFont val="맑은 고딕"/>
        <family val="0"/>
        <charset val="1"/>
      </rPr>
      <t xml:space="preserve">: 1~7</t>
    </r>
    <r>
      <rPr>
        <sz val="10"/>
        <color rgb="FF0000FF"/>
        <rFont val="Noto Sans CJK SC"/>
        <family val="2"/>
      </rPr>
      <t xml:space="preserve">차시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</si>
  <si>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평가 안내문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</si>
  <si>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딕셔너리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집합 연산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단어 빈도 세기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학생 명부 관리 → 형성평가①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객관식 </t>
    </r>
    <r>
      <rPr>
        <sz val="10"/>
        <color rgb="FF0000FF"/>
        <rFont val="맑은 고딕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문항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코딩 </t>
    </r>
    <r>
      <rPr>
        <sz val="10"/>
        <color rgb="FF0000FF"/>
        <rFont val="맑은 고딕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문항</t>
    </r>
    <r>
      <rPr>
        <sz val="10"/>
        <color rgb="FF0000FF"/>
        <rFont val="맑은 고딕"/>
        <family val="0"/>
        <charset val="1"/>
      </rPr>
      <t xml:space="preserve">, 40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</si>
  <si>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07, </t>
    </r>
    <r>
      <rPr>
        <sz val="10"/>
        <color rgb="FF0000FF"/>
        <rFont val="Noto Sans CJK SC"/>
        <family val="2"/>
      </rPr>
      <t xml:space="preserve">형성평가① 문항</t>
    </r>
  </si>
  <si>
    <r>
      <rPr>
        <sz val="10"/>
        <color rgb="FF0000FF"/>
        <rFont val="Noto Sans CJK SC"/>
        <family val="2"/>
      </rPr>
      <t xml:space="preserve">형성평가① </t>
    </r>
    <r>
      <rPr>
        <sz val="10"/>
        <color rgb="FF0000FF"/>
        <rFont val="맑은 고딕"/>
        <family val="0"/>
        <charset val="1"/>
      </rPr>
      <t xml:space="preserve">5%</t>
    </r>
  </si>
  <si>
    <r>
      <rPr>
        <sz val="10"/>
        <color rgb="FF0000FF"/>
        <rFont val="Noto Sans CJK SC"/>
        <family val="2"/>
      </rPr>
      <t xml:space="preserve">평가 결과 즉시 피드백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자료구조 선택 기준 정리</t>
    </r>
  </si>
  <si>
    <t xml:space="preserve">평가 결과표</t>
  </si>
  <si>
    <r>
      <rPr>
        <sz val="10"/>
        <color rgb="FF0000FF"/>
        <rFont val="Noto Sans CJK SC"/>
        <family val="2"/>
      </rPr>
      <t xml:space="preserve">함수 기초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함수를 정의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호출하고 매개변수와 반환값을 활용할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</si>
  <si>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형성평가① 오답 해설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반복 코드의 문제점 제시</t>
    </r>
  </si>
  <si>
    <t xml:space="preserve">오답 해설 자료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</si>
  <si>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함수 정의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호출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기본값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가변인자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독스트링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계산기 함수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성적 처리 함수 리팩토링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</si>
  <si>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08</t>
    </r>
  </si>
  <si>
    <r>
      <rPr>
        <sz val="10"/>
        <color rgb="FF0000FF"/>
        <rFont val="Noto Sans CJK SC"/>
        <family val="2"/>
      </rPr>
      <t xml:space="preserve">정리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</si>
  <si>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08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</si>
  <si>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함수 심화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스코프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람다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재귀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고차함수를 활용할 수 있다</t>
    </r>
    <r>
      <rPr>
        <sz val="10"/>
        <color rgb="FF0000FF"/>
        <rFont val="맑은 고딕"/>
        <family val="0"/>
        <charset val="1"/>
      </rPr>
      <t xml:space="preserve">.</t>
    </r>
  </si>
  <si>
    <t xml:space="preserve">전 차시 과제 코드 리뷰</t>
  </si>
  <si>
    <t xml:space="preserve">과제 코드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</si>
  <si>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global/nonlocal·</t>
    </r>
    <r>
      <rPr>
        <sz val="10"/>
        <color rgb="FF0000FF"/>
        <rFont val="Noto Sans CJK SC"/>
        <family val="2"/>
      </rPr>
      <t xml:space="preserve">람다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재귀</t>
    </r>
    <r>
      <rPr>
        <sz val="10"/>
        <color rgb="FF0000FF"/>
        <rFont val="맑은 고딕"/>
        <family val="0"/>
        <charset val="1"/>
      </rPr>
      <t xml:space="preserve">·map/filter·</t>
    </r>
    <r>
      <rPr>
        <sz val="10"/>
        <color rgb="FF0000FF"/>
        <rFont val="Noto Sans CJK SC"/>
        <family val="2"/>
      </rPr>
      <t xml:space="preserve">타입 힌트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팩토리얼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피보나치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정렬 키 함수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데이터 필터링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</si>
  <si>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09</t>
    </r>
  </si>
  <si>
    <r>
      <rPr>
        <sz val="10"/>
        <color rgb="FF0000FF"/>
        <rFont val="Noto Sans CJK SC"/>
        <family val="2"/>
      </rPr>
      <t xml:space="preserve">정리 퀴즈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09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</si>
  <si>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09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</si>
  <si>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모듈과 패키지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표준 라이브러리와 사용자 모듈을 활용할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</si>
  <si>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맑은 고딕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바퀴를 다시 만들지 말라</t>
    </r>
    <r>
      <rPr>
        <sz val="10"/>
        <color rgb="FF0000FF"/>
        <rFont val="맑은 고딕"/>
        <family val="0"/>
        <charset val="1"/>
      </rPr>
      <t xml:space="preserve">' — </t>
    </r>
    <r>
      <rPr>
        <sz val="10"/>
        <color rgb="FF0000FF"/>
        <rFont val="Noto Sans CJK SC"/>
        <family val="2"/>
      </rPr>
      <t xml:space="preserve">라이브러리 활용 동기 부여</t>
    </r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</si>
  <si>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import </t>
    </r>
    <r>
      <rPr>
        <sz val="10"/>
        <color rgb="FF0000FF"/>
        <rFont val="Noto Sans CJK SC"/>
        <family val="2"/>
      </rPr>
      <t xml:space="preserve">구조</t>
    </r>
    <r>
      <rPr>
        <sz val="10"/>
        <color rgb="FF0000FF"/>
        <rFont val="맑은 고딕"/>
        <family val="0"/>
        <charset val="1"/>
      </rPr>
      <t xml:space="preserve">·math/random/datetime/os </t>
    </r>
    <r>
      <rPr>
        <sz val="10"/>
        <color rgb="FF0000FF"/>
        <rFont val="Noto Sans CJK SC"/>
        <family val="2"/>
      </rPr>
      <t xml:space="preserve">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로또 생성기</t>
    </r>
    <r>
      <rPr>
        <sz val="10"/>
        <color rgb="FF0000FF"/>
        <rFont val="맑은 고딕"/>
        <family val="0"/>
        <charset val="1"/>
      </rPr>
      <t xml:space="preserve">, D-day </t>
    </r>
    <r>
      <rPr>
        <sz val="10"/>
        <color rgb="FF0000FF"/>
        <rFont val="Noto Sans CJK SC"/>
        <family val="2"/>
      </rPr>
      <t xml:space="preserve">계산기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파일 목록 정리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사용자 모듈 분리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</si>
  <si>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10, </t>
    </r>
    <r>
      <rPr>
        <sz val="10"/>
        <color rgb="FF0000FF"/>
        <rFont val="Noto Sans CJK SC"/>
        <family val="2"/>
      </rPr>
      <t xml:space="preserve">공식 문서</t>
    </r>
  </si>
  <si>
    <r>
      <rPr>
        <sz val="10"/>
        <color rgb="FF0000FF"/>
        <rFont val="Noto Sans CJK SC"/>
        <family val="2"/>
      </rPr>
      <t xml:space="preserve">공식 문서 읽는 법 정리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</si>
  <si>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10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</si>
  <si>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예외 처리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예외를 처리하여 안정적인 프로그램을 작성할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</si>
  <si>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실행 중 오류 사례 시연</t>
    </r>
    <r>
      <rPr>
        <sz val="10"/>
        <color rgb="FF0000FF"/>
        <rFont val="맑은 고딕"/>
        <family val="0"/>
        <charset val="1"/>
      </rPr>
      <t xml:space="preserve">(0 </t>
    </r>
    <r>
      <rPr>
        <sz val="10"/>
        <color rgb="FF0000FF"/>
        <rFont val="Noto Sans CJK SC"/>
        <family val="2"/>
      </rPr>
      <t xml:space="preserve">나누기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파일 없음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</si>
  <si>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오류 화면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</si>
  <si>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try/except/else/finally·</t>
    </r>
    <r>
      <rPr>
        <sz val="10"/>
        <color rgb="FF0000FF"/>
        <rFont val="Noto Sans CJK SC"/>
        <family val="2"/>
      </rPr>
      <t xml:space="preserve">예외 계층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사용자 정의 예외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입력 검증기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안전한 나눗셈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계좌 예외 설계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</si>
  <si>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11</t>
    </r>
  </si>
  <si>
    <r>
      <rPr>
        <sz val="10"/>
        <color rgb="FF0000FF"/>
        <rFont val="Noto Sans CJK SC"/>
        <family val="2"/>
      </rPr>
      <t xml:space="preserve">방어적 코딩 체크리스트 정리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</si>
  <si>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11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</si>
  <si>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파일 입출력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텍스트</t>
    </r>
    <r>
      <rPr>
        <sz val="10"/>
        <color rgb="FF0000FF"/>
        <rFont val="맑은 고딕"/>
        <family val="0"/>
        <charset val="1"/>
      </rPr>
      <t xml:space="preserve">·CSV·JSON </t>
    </r>
    <r>
      <rPr>
        <sz val="10"/>
        <color rgb="FF0000FF"/>
        <rFont val="Noto Sans CJK SC"/>
        <family val="2"/>
      </rPr>
      <t xml:space="preserve">파일을 읽고 쓸 수 있다</t>
    </r>
    <r>
      <rPr>
        <sz val="10"/>
        <color rgb="FF0000FF"/>
        <rFont val="맑은 고딕"/>
        <family val="0"/>
        <charset val="1"/>
      </rPr>
      <t xml:space="preserve">.</t>
    </r>
  </si>
  <si>
    <t xml:space="preserve">데이터가 파일로 오가는 실무 흐름 소개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</si>
  <si>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open/with·CSV·JSON </t>
    </r>
    <r>
      <rPr>
        <sz val="10"/>
        <color rgb="FF0000FF"/>
        <rFont val="Noto Sans CJK SC"/>
        <family val="2"/>
      </rPr>
      <t xml:space="preserve">처리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로그 파일 분석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학생 명부 </t>
    </r>
    <r>
      <rPr>
        <sz val="10"/>
        <color rgb="FF0000FF"/>
        <rFont val="맑은 고딕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저장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불러오기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설정 </t>
    </r>
    <r>
      <rPr>
        <sz val="10"/>
        <color rgb="FF0000FF"/>
        <rFont val="맑은 고딕"/>
        <family val="0"/>
        <charset val="1"/>
      </rPr>
      <t xml:space="preserve">JSON </t>
    </r>
    <r>
      <rPr>
        <sz val="10"/>
        <color rgb="FF0000FF"/>
        <rFont val="Noto Sans CJK SC"/>
        <family val="2"/>
      </rPr>
      <t xml:space="preserve">처리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</si>
  <si>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12, </t>
    </r>
    <r>
      <rPr>
        <sz val="10"/>
        <color rgb="FF0000FF"/>
        <rFont val="Noto Sans CJK SC"/>
        <family val="2"/>
      </rPr>
      <t xml:space="preserve">샘플 데이터</t>
    </r>
  </si>
  <si>
    <r>
      <rPr>
        <sz val="10"/>
        <color rgb="FF0000FF"/>
        <rFont val="Noto Sans CJK SC"/>
        <family val="2"/>
      </rPr>
      <t xml:space="preserve">인코딩 문제 정리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</si>
  <si>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12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</si>
  <si>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클래스와 객체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클래스를 정의하고 객체를 생성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활용할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</si>
  <si>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현실 사물 → 객체 모델링 예시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자동차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계좌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</si>
  <si>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class·__init__·</t>
    </r>
    <r>
      <rPr>
        <sz val="10"/>
        <color rgb="FF0000FF"/>
        <rFont val="Noto Sans CJK SC"/>
        <family val="2"/>
      </rPr>
      <t xml:space="preserve">인스턴스</t>
    </r>
    <r>
      <rPr>
        <sz val="10"/>
        <color rgb="FF0000FF"/>
        <rFont val="맑은 고딕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클래스 변수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메서드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캡슐화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은행 계좌 클래스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학생 클래스 설계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</si>
  <si>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13</t>
    </r>
  </si>
  <si>
    <r>
      <rPr>
        <sz val="10"/>
        <color rgb="FF0000FF"/>
        <rFont val="Noto Sans CJK SC"/>
        <family val="2"/>
      </rPr>
      <t xml:space="preserve">정리 퀴즈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</si>
  <si>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13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</si>
  <si>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상속과 다형성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상속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오버라이딩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특수 메서드로 객체지향 설계를 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</si>
  <si>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형성평가② 안내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범위</t>
    </r>
    <r>
      <rPr>
        <sz val="10"/>
        <color rgb="FF0000FF"/>
        <rFont val="맑은 고딕"/>
        <family val="0"/>
        <charset val="1"/>
      </rPr>
      <t xml:space="preserve">: 8~14</t>
    </r>
    <r>
      <rPr>
        <sz val="10"/>
        <color rgb="FF0000FF"/>
        <rFont val="Noto Sans CJK SC"/>
        <family val="2"/>
      </rPr>
      <t xml:space="preserve">차시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</si>
  <si>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상속</t>
    </r>
    <r>
      <rPr>
        <sz val="10"/>
        <color rgb="FF0000FF"/>
        <rFont val="맑은 고딕"/>
        <family val="0"/>
        <charset val="1"/>
      </rPr>
      <t xml:space="preserve">·super()·</t>
    </r>
    <r>
      <rPr>
        <sz val="10"/>
        <color rgb="FF0000FF"/>
        <rFont val="Noto Sans CJK SC"/>
        <family val="2"/>
      </rPr>
      <t xml:space="preserve">오버라이딩</t>
    </r>
    <r>
      <rPr>
        <sz val="10"/>
        <color rgb="FF0000FF"/>
        <rFont val="맑은 고딕"/>
        <family val="0"/>
        <charset val="1"/>
      </rPr>
      <t xml:space="preserve">·__str__ </t>
    </r>
    <r>
      <rPr>
        <sz val="10"/>
        <color rgb="FF0000FF"/>
        <rFont val="Noto Sans CJK SC"/>
        <family val="2"/>
      </rPr>
      <t xml:space="preserve">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도형 클래스 계층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게임 캐릭터 설계 → 형성평가②</t>
    </r>
    <r>
      <rPr>
        <sz val="10"/>
        <color rgb="FF0000FF"/>
        <rFont val="맑은 고딕"/>
        <family val="0"/>
        <charset val="1"/>
      </rPr>
      <t xml:space="preserve">(40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</si>
  <si>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14, </t>
    </r>
    <r>
      <rPr>
        <sz val="10"/>
        <color rgb="FF0000FF"/>
        <rFont val="Noto Sans CJK SC"/>
        <family val="2"/>
      </rPr>
      <t xml:space="preserve">형성평가② 문항</t>
    </r>
  </si>
  <si>
    <r>
      <rPr>
        <sz val="10"/>
        <color rgb="FF0000FF"/>
        <rFont val="Noto Sans CJK SC"/>
        <family val="2"/>
      </rPr>
      <t xml:space="preserve">형성평가② </t>
    </r>
    <r>
      <rPr>
        <sz val="10"/>
        <color rgb="FF0000FF"/>
        <rFont val="맑은 고딕"/>
        <family val="0"/>
        <charset val="1"/>
      </rPr>
      <t xml:space="preserve">5%</t>
    </r>
  </si>
  <si>
    <r>
      <rPr>
        <sz val="10"/>
        <color rgb="FF0000FF"/>
        <rFont val="Noto Sans CJK SC"/>
        <family val="2"/>
      </rPr>
      <t xml:space="preserve">평가 피드백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객체지향 설계 원칙 정리</t>
    </r>
  </si>
  <si>
    <r>
      <rPr>
        <sz val="10"/>
        <color rgb="FF0000FF"/>
        <rFont val="Noto Sans CJK SC"/>
        <family val="2"/>
      </rPr>
      <t xml:space="preserve">외부 라이브러리 활용 </t>
    </r>
    <r>
      <rPr>
        <sz val="10"/>
        <color rgb="FF0000FF"/>
        <rFont val="맑은 고딕"/>
        <family val="0"/>
        <charset val="1"/>
      </rPr>
      <t xml:space="preserve">/ pip·</t>
    </r>
    <r>
      <rPr>
        <sz val="10"/>
        <color rgb="FF0000FF"/>
        <rFont val="Noto Sans CJK SC"/>
        <family val="2"/>
      </rPr>
      <t xml:space="preserve">가상환경으로 외부 패키지를 설치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활용할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</si>
  <si>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형성평가② 오답 해설</t>
    </r>
    <r>
      <rPr>
        <sz val="10"/>
        <color rgb="FF0000FF"/>
        <rFont val="맑은 고딕"/>
        <family val="0"/>
        <charset val="1"/>
      </rPr>
      <t xml:space="preserve">, PyPI </t>
    </r>
    <r>
      <rPr>
        <sz val="10"/>
        <color rgb="FF0000FF"/>
        <rFont val="Noto Sans CJK SC"/>
        <family val="2"/>
      </rPr>
      <t xml:space="preserve">소개</t>
    </r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</si>
  <si>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venv·pip·requests API </t>
    </r>
    <r>
      <rPr>
        <sz val="10"/>
        <color rgb="FF0000FF"/>
        <rFont val="Noto Sans CJK SC"/>
        <family val="2"/>
      </rPr>
      <t xml:space="preserve">호출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공공데이터 </t>
    </r>
    <r>
      <rPr>
        <sz val="10"/>
        <color rgb="FF0000FF"/>
        <rFont val="맑은 고딕"/>
        <family val="0"/>
        <charset val="1"/>
      </rPr>
      <t xml:space="preserve">API(</t>
    </r>
    <r>
      <rPr>
        <sz val="10"/>
        <color rgb="FF0000FF"/>
        <rFont val="Noto Sans CJK SC"/>
        <family val="2"/>
      </rPr>
      <t xml:space="preserve">날씨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미세먼지</t>
    </r>
    <r>
      <rPr>
        <sz val="10"/>
        <color rgb="FF0000FF"/>
        <rFont val="맑은 고딕"/>
        <family val="0"/>
        <charset val="1"/>
      </rPr>
      <t xml:space="preserve">) </t>
    </r>
    <r>
      <rPr>
        <sz val="10"/>
        <color rgb="FF0000FF"/>
        <rFont val="Noto Sans CJK SC"/>
        <family val="2"/>
      </rPr>
      <t xml:space="preserve">호출 및 </t>
    </r>
    <r>
      <rPr>
        <sz val="10"/>
        <color rgb="FF0000FF"/>
        <rFont val="맑은 고딕"/>
        <family val="0"/>
        <charset val="1"/>
      </rPr>
      <t xml:space="preserve">JSON </t>
    </r>
    <r>
      <rPr>
        <sz val="10"/>
        <color rgb="FF0000FF"/>
        <rFont val="Noto Sans CJK SC"/>
        <family val="2"/>
      </rPr>
      <t xml:space="preserve">파싱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</si>
  <si>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15, API </t>
    </r>
    <r>
      <rPr>
        <sz val="10"/>
        <color rgb="FF0000FF"/>
        <rFont val="Noto Sans CJK SC"/>
        <family val="2"/>
      </rPr>
      <t xml:space="preserve">키 안내</t>
    </r>
  </si>
  <si>
    <r>
      <rPr>
        <sz val="10"/>
        <color rgb="FF0000FF"/>
        <rFont val="Noto Sans CJK SC"/>
        <family val="2"/>
      </rPr>
      <t xml:space="preserve">패키지 문서 읽기 정리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15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</si>
  <si>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15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</si>
  <si>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데이터 처리</t>
    </r>
    <r>
      <rPr>
        <sz val="10"/>
        <color rgb="FF0000FF"/>
        <rFont val="맑은 고딕"/>
        <family val="0"/>
        <charset val="1"/>
      </rPr>
      <t xml:space="preserve">(pandas </t>
    </r>
    <r>
      <rPr>
        <sz val="10"/>
        <color rgb="FF0000FF"/>
        <rFont val="Noto Sans CJK SC"/>
        <family val="2"/>
      </rPr>
      <t xml:space="preserve">기초</t>
    </r>
    <r>
      <rPr>
        <sz val="10"/>
        <color rgb="FF0000FF"/>
        <rFont val="맑은 고딕"/>
        <family val="0"/>
        <charset val="1"/>
      </rPr>
      <t xml:space="preserve">) / DataFrame</t>
    </r>
    <r>
      <rPr>
        <sz val="10"/>
        <color rgb="FF0000FF"/>
        <rFont val="Noto Sans CJK SC"/>
        <family val="2"/>
      </rPr>
      <t xml:space="preserve">으로 데이터를 조회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정제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집계할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</si>
  <si>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엑셀 </t>
    </r>
    <r>
      <rPr>
        <sz val="10"/>
        <color rgb="FF0000FF"/>
        <rFont val="맑은 고딕"/>
        <family val="0"/>
        <charset val="1"/>
      </rPr>
      <t xml:space="preserve">vs pandas </t>
    </r>
    <r>
      <rPr>
        <sz val="10"/>
        <color rgb="FF0000FF"/>
        <rFont val="Noto Sans CJK SC"/>
        <family val="2"/>
      </rPr>
      <t xml:space="preserve">비교 시연</t>
    </r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</si>
  <si>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DataFrame </t>
    </r>
    <r>
      <rPr>
        <sz val="10"/>
        <color rgb="FF0000FF"/>
        <rFont val="Noto Sans CJK SC"/>
        <family val="2"/>
      </rPr>
      <t xml:space="preserve">생성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필터</t>
    </r>
    <r>
      <rPr>
        <sz val="10"/>
        <color rgb="FF0000FF"/>
        <rFont val="맑은 고딕"/>
        <family val="0"/>
        <charset val="1"/>
      </rPr>
      <t xml:space="preserve">·groupby·</t>
    </r>
    <r>
      <rPr>
        <sz val="10"/>
        <color rgb="FF0000FF"/>
        <rFont val="Noto Sans CJK SC"/>
        <family val="2"/>
      </rPr>
      <t xml:space="preserve">결측 처리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</t>
    </r>
    <r>
      <rPr>
        <sz val="10"/>
        <color rgb="FF0000FF"/>
        <rFont val="Noto Sans CJK SC"/>
        <family val="2"/>
      </rPr>
      <t xml:space="preserve">매출 </t>
    </r>
    <r>
      <rPr>
        <sz val="10"/>
        <color rgb="FF0000FF"/>
        <rFont val="맑은 고딕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정제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집계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상위 </t>
    </r>
    <r>
      <rPr>
        <sz val="10"/>
        <color rgb="FF0000FF"/>
        <rFont val="맑은 고딕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추출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</si>
  <si>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16, </t>
    </r>
    <r>
      <rPr>
        <sz val="10"/>
        <color rgb="FF0000FF"/>
        <rFont val="Noto Sans CJK SC"/>
        <family val="2"/>
      </rPr>
      <t xml:space="preserve">샘플 </t>
    </r>
    <r>
      <rPr>
        <sz val="10"/>
        <color rgb="FF0000FF"/>
        <rFont val="맑은 고딕"/>
        <family val="0"/>
        <charset val="1"/>
      </rPr>
      <t xml:space="preserve">CSV</t>
    </r>
  </si>
  <si>
    <r>
      <rPr>
        <sz val="10"/>
        <color rgb="FF0000FF"/>
        <rFont val="Noto Sans CJK SC"/>
        <family val="2"/>
      </rPr>
      <t xml:space="preserve">정리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공지</t>
    </r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</si>
  <si>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16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</si>
  <si>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데이터 시각화 </t>
    </r>
    <r>
      <rPr>
        <sz val="10"/>
        <color rgb="FF0000FF"/>
        <rFont val="맑은 고딕"/>
        <family val="0"/>
        <charset val="1"/>
      </rPr>
      <t xml:space="preserve">/ matplotlib</t>
    </r>
    <r>
      <rPr>
        <sz val="10"/>
        <color rgb="FF0000FF"/>
        <rFont val="Noto Sans CJK SC"/>
        <family val="2"/>
      </rPr>
      <t xml:space="preserve">으로 차트를 그리고 저장할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</si>
  <si>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좋은 차트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나쁜 차트 사례 토의</t>
    </r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</si>
  <si>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막대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선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산점도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서식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저장 시연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실습</t>
    </r>
    <r>
      <rPr>
        <sz val="10"/>
        <color rgb="FF0000FF"/>
        <rFont val="맑은 고딕"/>
        <family val="0"/>
        <charset val="1"/>
      </rPr>
      <t xml:space="preserve">: 16</t>
    </r>
    <r>
      <rPr>
        <sz val="10"/>
        <color rgb="FF0000FF"/>
        <rFont val="Noto Sans CJK SC"/>
        <family val="2"/>
      </rPr>
      <t xml:space="preserve">차시 집계 결과 시각화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리포트 이미지 생성</t>
    </r>
  </si>
  <si>
    <r>
      <rPr>
        <sz val="10"/>
        <color rgb="FF0000FF"/>
        <rFont val="Noto Sans CJK SC"/>
        <family val="2"/>
      </rPr>
      <t xml:space="preserve">실습 노트북 </t>
    </r>
    <r>
      <rPr>
        <sz val="10"/>
        <color rgb="FF0000FF"/>
        <rFont val="맑은 고딕"/>
        <family val="0"/>
        <charset val="1"/>
      </rPr>
      <t xml:space="preserve">17</t>
    </r>
  </si>
  <si>
    <r>
      <rPr>
        <sz val="10"/>
        <color rgb="FF0000FF"/>
        <rFont val="Noto Sans CJK SC"/>
        <family val="2"/>
      </rPr>
      <t xml:space="preserve">프로젝트 주제 사전 안내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과제 </t>
    </r>
    <r>
      <rPr>
        <sz val="10"/>
        <color rgb="FF0000FF"/>
        <rFont val="맑은 고딕"/>
        <family val="0"/>
        <charset val="1"/>
      </rPr>
      <t xml:space="preserve">17 </t>
    </r>
    <r>
      <rPr>
        <sz val="10"/>
        <color rgb="FF0000FF"/>
        <rFont val="Noto Sans CJK SC"/>
        <family val="2"/>
      </rPr>
      <t xml:space="preserve">공지</t>
    </r>
  </si>
  <si>
    <t xml:space="preserve">프로젝트 안내문</t>
  </si>
  <si>
    <r>
      <rPr>
        <sz val="10"/>
        <color rgb="FF0000FF"/>
        <rFont val="Noto Sans CJK SC"/>
        <family val="2"/>
      </rPr>
      <t xml:space="preserve">실습과제 </t>
    </r>
    <r>
      <rPr>
        <sz val="10"/>
        <color rgb="FF0000FF"/>
        <rFont val="맑은 고딕"/>
        <family val="0"/>
        <charset val="1"/>
      </rPr>
      <t xml:space="preserve">17 (LMS 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</si>
  <si>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미니 프로젝트 기획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설계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요구사항을 정의하고 프로젝트 구조를 설계할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</si>
  <si>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팀 편성</t>
    </r>
    <r>
      <rPr>
        <sz val="10"/>
        <color rgb="FF0000FF"/>
        <rFont val="맑은 고딕"/>
        <family val="0"/>
        <charset val="1"/>
      </rPr>
      <t xml:space="preserve">(3~4</t>
    </r>
    <r>
      <rPr>
        <sz val="10"/>
        <color rgb="FF0000FF"/>
        <rFont val="Noto Sans CJK SC"/>
        <family val="2"/>
      </rPr>
      <t xml:space="preserve">인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주제 후보 제시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공공데이터 분석 리포트</t>
    </r>
    <r>
      <rPr>
        <sz val="10"/>
        <color rgb="FF0000FF"/>
        <rFont val="맑은 고딕"/>
        <family val="0"/>
        <charset val="1"/>
      </rPr>
      <t xml:space="preserve">, CLI </t>
    </r>
    <r>
      <rPr>
        <sz val="10"/>
        <color rgb="FF0000FF"/>
        <rFont val="Noto Sans CJK SC"/>
        <family val="2"/>
      </rPr>
      <t xml:space="preserve">가계부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도서관리 등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</si>
  <si>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프로젝트 가이드</t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</si>
  <si>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주제 선정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요구사항 명세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기능 분담</t>
    </r>
    <r>
      <rPr>
        <sz val="10"/>
        <color rgb="FF0000FF"/>
        <rFont val="맑은 고딕"/>
        <family val="0"/>
        <charset val="1"/>
      </rPr>
      <t xml:space="preserve">·Git </t>
    </r>
    <r>
      <rPr>
        <sz val="10"/>
        <color rgb="FF0000FF"/>
        <rFont val="Noto Sans CJK SC"/>
        <family val="2"/>
      </rPr>
      <t xml:space="preserve">저장소 생성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팀별 설계 코칭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범위 조정</t>
    </r>
  </si>
  <si>
    <r>
      <rPr>
        <sz val="10"/>
        <color rgb="FF0000FF"/>
        <rFont val="Noto Sans CJK SC"/>
        <family val="2"/>
      </rPr>
      <t xml:space="preserve">설계 템플릿</t>
    </r>
    <r>
      <rPr>
        <sz val="10"/>
        <color rgb="FF0000FF"/>
        <rFont val="맑은 고딕"/>
        <family val="0"/>
        <charset val="1"/>
      </rPr>
      <t xml:space="preserve">, GitHub</t>
    </r>
  </si>
  <si>
    <t xml:space="preserve">설계서 초안 제출</t>
  </si>
  <si>
    <r>
      <rPr>
        <sz val="10"/>
        <color rgb="FF0000FF"/>
        <rFont val="맑은 고딕"/>
        <family val="0"/>
        <charset val="1"/>
      </rPr>
      <t xml:space="preserve">LMS </t>
    </r>
    <r>
      <rPr>
        <sz val="10"/>
        <color rgb="FF0000FF"/>
        <rFont val="Noto Sans CJK SC"/>
        <family val="2"/>
      </rPr>
      <t xml:space="preserve">제출</t>
    </r>
  </si>
  <si>
    <r>
      <rPr>
        <sz val="10"/>
        <color rgb="FF0000FF"/>
        <rFont val="Noto Sans CJK SC"/>
        <family val="2"/>
      </rPr>
      <t xml:space="preserve">설계서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프로젝트 평가 반영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</si>
  <si>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미니 프로젝트 구현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설계에 따라 기능을 구현하고 코드 리뷰를 수행할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</si>
  <si>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팀별 진행 상황 공유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스탠드업 </t>
    </r>
    <r>
      <rPr>
        <sz val="10"/>
        <color rgb="FF0000FF"/>
        <rFont val="맑은 고딕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</si>
  <si>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기능 구현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통합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예외처리</t>
    </r>
    <r>
      <rPr>
        <sz val="10"/>
        <color rgb="FF0000FF"/>
        <rFont val="맑은 고딕"/>
        <family val="0"/>
        <charset val="1"/>
      </rPr>
      <t xml:space="preserve">·README </t>
    </r>
    <r>
      <rPr>
        <sz val="10"/>
        <color rgb="FF0000FF"/>
        <rFont val="Noto Sans CJK SC"/>
        <family val="2"/>
      </rPr>
      <t xml:space="preserve">작성 → </t>
    </r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팀별 순회 코드 리뷰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디버깅 지원 → 발표 자료 준비</t>
    </r>
  </si>
  <si>
    <r>
      <rPr>
        <sz val="10"/>
        <color rgb="FF0000FF"/>
        <rFont val="맑은 고딕"/>
        <family val="0"/>
        <charset val="1"/>
      </rPr>
      <t xml:space="preserve">GitHub, </t>
    </r>
    <r>
      <rPr>
        <sz val="10"/>
        <color rgb="FF0000FF"/>
        <rFont val="Noto Sans CJK SC"/>
        <family val="2"/>
      </rPr>
      <t xml:space="preserve">코드 리뷰 체크리스트</t>
    </r>
  </si>
  <si>
    <r>
      <rPr>
        <sz val="10"/>
        <color rgb="FF0000FF"/>
        <rFont val="Noto Sans CJK SC"/>
        <family val="2"/>
      </rPr>
      <t xml:space="preserve">발표 순서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평가 기준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루브릭</t>
    </r>
    <r>
      <rPr>
        <sz val="10"/>
        <color rgb="FF0000FF"/>
        <rFont val="맑은 고딕"/>
        <family val="0"/>
        <charset val="1"/>
      </rPr>
      <t xml:space="preserve">) </t>
    </r>
    <r>
      <rPr>
        <sz val="10"/>
        <color rgb="FF0000FF"/>
        <rFont val="Noto Sans CJK SC"/>
        <family val="2"/>
      </rPr>
      <t xml:space="preserve">공지</t>
    </r>
  </si>
  <si>
    <t xml:space="preserve">평가계획 시트</t>
  </si>
  <si>
    <r>
      <rPr>
        <sz val="10"/>
        <color rgb="FF0000FF"/>
        <rFont val="Noto Sans CJK SC"/>
        <family val="2"/>
      </rPr>
      <t xml:space="preserve">프로젝트 발표 및 내부평가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산출물을 발표하고 능력단위 평가에 응시할 수 있다</t>
    </r>
    <r>
      <rPr>
        <sz val="10"/>
        <color rgb="FF0000FF"/>
        <rFont val="맑은 고딕"/>
        <family val="0"/>
        <charset val="1"/>
      </rPr>
      <t xml:space="preserve">.</t>
    </r>
  </si>
  <si>
    <r>
      <rPr>
        <sz val="10"/>
        <color rgb="FF0000FF"/>
        <rFont val="Noto Sans CJK SC"/>
        <family val="2"/>
      </rPr>
      <t xml:space="preserve">발표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평가 진행 안내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평가 유의사항 고지</t>
    </r>
  </si>
  <si>
    <r>
      <rPr>
        <sz val="10"/>
        <color rgb="FF0000FF"/>
        <rFont val="맑은 고딕"/>
        <family val="0"/>
        <charset val="1"/>
      </rPr>
      <t xml:space="preserve">[</t>
    </r>
    <r>
      <rPr>
        <sz val="10"/>
        <color rgb="FF0000FF"/>
        <rFont val="Noto Sans CJK SC"/>
        <family val="2"/>
      </rPr>
      <t xml:space="preserve">훈련생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팀별 발표 </t>
    </r>
    <r>
      <rPr>
        <sz val="10"/>
        <color rgb="FF0000FF"/>
        <rFont val="맑은 고딕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분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질의응답 → 지필평가</t>
    </r>
    <r>
      <rPr>
        <sz val="10"/>
        <color rgb="FF0000FF"/>
        <rFont val="맑은 고딕"/>
        <family val="0"/>
        <charset val="1"/>
      </rPr>
      <t xml:space="preserve">(40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객관식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단답</t>
    </r>
    <r>
      <rPr>
        <sz val="10"/>
        <color rgb="FF0000FF"/>
        <rFont val="맑은 고딕"/>
        <family val="0"/>
        <charset val="1"/>
      </rPr>
      <t xml:space="preserve">) → </t>
    </r>
    <r>
      <rPr>
        <sz val="10"/>
        <color rgb="FF0000FF"/>
        <rFont val="Noto Sans CJK SC"/>
        <family val="2"/>
      </rPr>
      <t xml:space="preserve">실무평가</t>
    </r>
    <r>
      <rPr>
        <sz val="10"/>
        <color rgb="FF0000FF"/>
        <rFont val="맑은 고딕"/>
        <family val="0"/>
        <charset val="1"/>
      </rPr>
      <t xml:space="preserve">(60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코딩 과제</t>
    </r>
    <r>
      <rPr>
        <sz val="10"/>
        <color rgb="FF0000FF"/>
        <rFont val="맑은 고딕"/>
        <family val="0"/>
        <charset val="1"/>
      </rPr>
      <t xml:space="preserve">) → [</t>
    </r>
    <r>
      <rPr>
        <sz val="10"/>
        <color rgb="FF0000FF"/>
        <rFont val="Noto Sans CJK SC"/>
        <family val="2"/>
      </rPr>
      <t xml:space="preserve">강사</t>
    </r>
    <r>
      <rPr>
        <sz val="10"/>
        <color rgb="FF0000FF"/>
        <rFont val="맑은 고딕"/>
        <family val="0"/>
        <charset val="1"/>
      </rPr>
      <t xml:space="preserve">] </t>
    </r>
    <r>
      <rPr>
        <sz val="10"/>
        <color rgb="FF0000FF"/>
        <rFont val="Noto Sans CJK SC"/>
        <family val="2"/>
      </rPr>
      <t xml:space="preserve">루브릭 채점</t>
    </r>
  </si>
  <si>
    <r>
      <rPr>
        <sz val="10"/>
        <color rgb="FF0000FF"/>
        <rFont val="Noto Sans CJK SC"/>
        <family val="2"/>
      </rPr>
      <t xml:space="preserve">지필평가지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실무평가 과제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루브릭</t>
    </r>
  </si>
  <si>
    <r>
      <rPr>
        <sz val="10"/>
        <color rgb="FF0000FF"/>
        <rFont val="Noto Sans CJK SC"/>
        <family val="2"/>
      </rPr>
      <t xml:space="preserve">지필 </t>
    </r>
    <r>
      <rPr>
        <sz val="10"/>
        <color rgb="FF0000FF"/>
        <rFont val="맑은 고딕"/>
        <family val="0"/>
        <charset val="1"/>
      </rPr>
      <t xml:space="preserve">20% / </t>
    </r>
    <r>
      <rPr>
        <sz val="10"/>
        <color rgb="FF0000FF"/>
        <rFont val="Noto Sans CJK SC"/>
        <family val="2"/>
      </rPr>
      <t xml:space="preserve">실무 </t>
    </r>
    <r>
      <rPr>
        <sz val="10"/>
        <color rgb="FF0000FF"/>
        <rFont val="맑은 고딕"/>
        <family val="0"/>
        <charset val="1"/>
      </rPr>
      <t xml:space="preserve">40%</t>
    </r>
  </si>
  <si>
    <r>
      <rPr>
        <sz val="10"/>
        <color rgb="FF0000FF"/>
        <rFont val="Noto Sans CJK SC"/>
        <family val="2"/>
      </rPr>
      <t xml:space="preserve">성적 안내 일정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재평가 기준 고지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교과 마무리 및 후속 교과 연계 안내</t>
    </r>
  </si>
  <si>
    <r>
      <rPr>
        <sz val="9"/>
        <color rgb="FF595959"/>
        <rFont val="Noto Sans CJK SC"/>
        <family val="2"/>
      </rPr>
      <t xml:space="preserve">※ 활동란은 </t>
    </r>
    <r>
      <rPr>
        <sz val="9"/>
        <color rgb="FF595959"/>
        <rFont val="맑은 고딕"/>
        <family val="0"/>
        <charset val="1"/>
      </rPr>
      <t xml:space="preserve">'[</t>
    </r>
    <r>
      <rPr>
        <sz val="9"/>
        <color rgb="FF595959"/>
        <rFont val="Noto Sans CJK SC"/>
        <family val="2"/>
      </rPr>
      <t xml:space="preserve">강사</t>
    </r>
    <r>
      <rPr>
        <sz val="9"/>
        <color rgb="FF595959"/>
        <rFont val="맑은 고딕"/>
        <family val="0"/>
        <charset val="1"/>
      </rPr>
      <t xml:space="preserve">] </t>
    </r>
    <r>
      <rPr>
        <sz val="9"/>
        <color rgb="FF595959"/>
        <rFont val="Noto Sans CJK SC"/>
        <family val="2"/>
      </rPr>
      <t xml:space="preserve">시연 → </t>
    </r>
    <r>
      <rPr>
        <sz val="9"/>
        <color rgb="FF595959"/>
        <rFont val="맑은 고딕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훈련생</t>
    </r>
    <r>
      <rPr>
        <sz val="9"/>
        <color rgb="FF595959"/>
        <rFont val="맑은 고딕"/>
        <family val="0"/>
        <charset val="1"/>
      </rPr>
      <t xml:space="preserve">] </t>
    </r>
    <r>
      <rPr>
        <sz val="9"/>
        <color rgb="FF595959"/>
        <rFont val="Noto Sans CJK SC"/>
        <family val="2"/>
      </rPr>
      <t xml:space="preserve">실습 → 피드백</t>
    </r>
    <r>
      <rPr>
        <sz val="9"/>
        <color rgb="FF595959"/>
        <rFont val="맑은 고딕"/>
        <family val="0"/>
        <charset val="1"/>
      </rPr>
      <t xml:space="preserve">' </t>
    </r>
    <r>
      <rPr>
        <sz val="9"/>
        <color rgb="FF595959"/>
        <rFont val="Noto Sans CJK SC"/>
        <family val="2"/>
      </rPr>
      <t xml:space="preserve">흐름이 드러나게 작성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현장 모니터링 시 훈련일지</t>
    </r>
    <r>
      <rPr>
        <sz val="9"/>
        <color rgb="FF595959"/>
        <rFont val="맑은 고딕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출석부</t>
    </r>
    <r>
      <rPr>
        <sz val="9"/>
        <color rgb="FF595959"/>
        <rFont val="맑은 고딕"/>
        <family val="0"/>
        <charset val="1"/>
      </rPr>
      <t xml:space="preserve">·LMS </t>
    </r>
    <r>
      <rPr>
        <sz val="9"/>
        <color rgb="FF595959"/>
        <rFont val="Noto Sans CJK SC"/>
        <family val="2"/>
      </rPr>
      <t xml:space="preserve">제출 기록과 대조되므로 실제 운영 내용과 일치하도록 수업 후 비고란에 변경사항을 기록한다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</si>
  <si>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6"/>
        <color rgb="FF1F3864"/>
        <rFont val="Noto Sans CJK SC"/>
        <family val="2"/>
      </rPr>
      <t xml:space="preserve">⑤ 평가 계획 </t>
    </r>
    <r>
      <rPr>
        <b val="true"/>
        <sz val="16"/>
        <color rgb="FF1F3864"/>
        <rFont val="맑은 고딕"/>
        <family val="0"/>
        <charset val="1"/>
      </rPr>
      <t xml:space="preserve">(</t>
    </r>
    <r>
      <rPr>
        <b val="true"/>
        <sz val="16"/>
        <color rgb="FF1F3864"/>
        <rFont val="Noto Sans CJK SC"/>
        <family val="2"/>
      </rPr>
      <t xml:space="preserve">내부평가</t>
    </r>
    <r>
      <rPr>
        <b val="true"/>
        <sz val="16"/>
        <color rgb="FF1F3864"/>
        <rFont val="맑은 고딕"/>
        <family val="0"/>
        <charset val="1"/>
      </rPr>
      <t xml:space="preserve">)</t>
    </r>
  </si>
  <si>
    <r>
      <rPr>
        <sz val="9"/>
        <color rgb="FF595959"/>
        <rFont val="Noto Sans CJK SC"/>
        <family val="2"/>
      </rPr>
      <t xml:space="preserve">평가 비중 합계 </t>
    </r>
    <r>
      <rPr>
        <sz val="9"/>
        <color rgb="FF595959"/>
        <rFont val="맑은 고딕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자동 검증 </t>
    </r>
    <r>
      <rPr>
        <sz val="9"/>
        <color rgb="FF595959"/>
        <rFont val="맑은 고딕"/>
        <family val="0"/>
        <charset val="1"/>
      </rPr>
      <t xml:space="preserve">| </t>
    </r>
    <r>
      <rPr>
        <sz val="9"/>
        <color rgb="FF595959"/>
        <rFont val="Noto Sans CJK SC"/>
        <family val="2"/>
      </rPr>
      <t xml:space="preserve">과정평가형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능력단위별 </t>
    </r>
    <r>
      <rPr>
        <sz val="9"/>
        <color rgb="FF595959"/>
        <rFont val="맑은 고딕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점 환산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지필</t>
    </r>
    <r>
      <rPr>
        <sz val="9"/>
        <color rgb="FF595959"/>
        <rFont val="맑은 고딕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실무 병행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평가시간은 훈련시간에 포함 </t>
    </r>
    <r>
      <rPr>
        <sz val="9"/>
        <color rgb="FF595959"/>
        <rFont val="맑은 고딕"/>
        <family val="0"/>
        <charset val="1"/>
      </rPr>
      <t xml:space="preserve">| KDT: </t>
    </r>
    <r>
      <rPr>
        <sz val="9"/>
        <color rgb="FF595959"/>
        <rFont val="Noto Sans CJK SC"/>
        <family val="2"/>
      </rPr>
      <t xml:space="preserve">프로젝트</t>
    </r>
    <r>
      <rPr>
        <sz val="9"/>
        <color rgb="FF595959"/>
        <rFont val="맑은 고딕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실무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평가 중심</t>
    </r>
  </si>
  <si>
    <r>
      <rPr>
        <b val="true"/>
        <sz val="11"/>
        <color rgb="FFFFFFFF"/>
        <rFont val="맑은 고딕"/>
        <family val="0"/>
        <charset val="1"/>
      </rPr>
      <t xml:space="preserve">1. </t>
    </r>
    <r>
      <rPr>
        <b val="true"/>
        <sz val="11"/>
        <color rgb="FFFFFFFF"/>
        <rFont val="Noto Sans CJK SC"/>
        <family val="2"/>
      </rPr>
      <t xml:space="preserve">평가 방법 및 비중</t>
    </r>
  </si>
  <si>
    <t xml:space="preserve">No</t>
  </si>
  <si>
    <t xml:space="preserve">비중</t>
  </si>
  <si>
    <r>
      <rPr>
        <b val="true"/>
        <sz val="10"/>
        <color rgb="FFFFFFFF"/>
        <rFont val="Noto Sans CJK SC"/>
        <family val="2"/>
      </rPr>
      <t xml:space="preserve">평가시간</t>
    </r>
    <r>
      <rPr>
        <b val="true"/>
        <sz val="10"/>
        <color rgb="FFFFFFFF"/>
        <rFont val="맑은 고딕"/>
        <family val="0"/>
        <charset val="1"/>
      </rPr>
      <t xml:space="preserve">(h)</t>
    </r>
  </si>
  <si>
    <r>
      <rPr>
        <b val="true"/>
        <sz val="10"/>
        <color rgb="FFFFFFFF"/>
        <rFont val="Noto Sans CJK SC"/>
        <family val="2"/>
      </rPr>
      <t xml:space="preserve">시기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차시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</si>
  <si>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평가 내용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문항 구성</t>
    </r>
  </si>
  <si>
    <t xml:space="preserve">평가 대상 능력단위요소</t>
  </si>
  <si>
    <r>
      <rPr>
        <b val="true"/>
        <sz val="10"/>
        <color rgb="FFFFFFFF"/>
        <rFont val="Noto Sans CJK SC"/>
        <family val="2"/>
      </rPr>
      <t xml:space="preserve">평가 도구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증빙</t>
    </r>
  </si>
  <si>
    <r>
      <rPr>
        <sz val="10"/>
        <color rgb="FF0000FF"/>
        <rFont val="Noto Sans CJK SC"/>
        <family val="2"/>
      </rPr>
      <t xml:space="preserve">형성평가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퀴즈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</si>
  <si>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맑은 고딕"/>
        <family val="0"/>
        <charset val="1"/>
      </rPr>
      <t xml:space="preserve">7·14</t>
    </r>
    <r>
      <rPr>
        <sz val="10"/>
        <color rgb="FF0000FF"/>
        <rFont val="Noto Sans CJK SC"/>
        <family val="2"/>
      </rPr>
      <t xml:space="preserve">차시</t>
    </r>
  </si>
  <si>
    <r>
      <rPr>
        <sz val="10"/>
        <color rgb="FF0000FF"/>
        <rFont val="Noto Sans CJK SC"/>
        <family val="2"/>
      </rPr>
      <t xml:space="preserve">객관식 </t>
    </r>
    <r>
      <rPr>
        <sz val="10"/>
        <color rgb="FF0000FF"/>
        <rFont val="맑은 고딕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문항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코딩 </t>
    </r>
    <r>
      <rPr>
        <sz val="10"/>
        <color rgb="FF0000FF"/>
        <rFont val="맑은 고딕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문항 </t>
    </r>
    <r>
      <rPr>
        <sz val="10"/>
        <color rgb="FF0000FF"/>
        <rFont val="맑은 고딕"/>
        <family val="0"/>
        <charset val="1"/>
      </rPr>
      <t xml:space="preserve">× 2</t>
    </r>
    <r>
      <rPr>
        <sz val="10"/>
        <color rgb="FF0000FF"/>
        <rFont val="Noto Sans CJK SC"/>
        <family val="2"/>
      </rPr>
      <t xml:space="preserve">회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각 </t>
    </r>
    <r>
      <rPr>
        <sz val="10"/>
        <color rgb="FF0000FF"/>
        <rFont val="맑은 고딕"/>
        <family val="0"/>
        <charset val="1"/>
      </rPr>
      <t xml:space="preserve">5%), 40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수업 중 실시</t>
    </r>
  </si>
  <si>
    <r>
      <rPr>
        <sz val="10"/>
        <color rgb="FF0000FF"/>
        <rFont val="Noto Sans CJK SC"/>
        <family val="2"/>
      </rPr>
      <t xml:space="preserve">요소①</t>
    </r>
    <r>
      <rPr>
        <sz val="10"/>
        <color rgb="FF0000FF"/>
        <rFont val="맑은 고딕"/>
        <family val="0"/>
        <charset val="1"/>
      </rPr>
      <t xml:space="preserve">(7</t>
    </r>
    <r>
      <rPr>
        <sz val="10"/>
        <color rgb="FF0000FF"/>
        <rFont val="Noto Sans CJK SC"/>
        <family val="2"/>
      </rPr>
      <t xml:space="preserve">차시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요소②</t>
    </r>
    <r>
      <rPr>
        <sz val="10"/>
        <color rgb="FF0000FF"/>
        <rFont val="맑은 고딕"/>
        <family val="0"/>
        <charset val="1"/>
      </rPr>
      <t xml:space="preserve">(14</t>
    </r>
    <r>
      <rPr>
        <sz val="10"/>
        <color rgb="FF0000FF"/>
        <rFont val="Noto Sans CJK SC"/>
        <family val="2"/>
      </rPr>
      <t xml:space="preserve">차시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</si>
  <si>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평가지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답안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결과표</t>
    </r>
  </si>
  <si>
    <t xml:space="preserve">실습과제</t>
  </si>
  <si>
    <t xml:space="preserve">매 차시</t>
  </si>
  <si>
    <r>
      <rPr>
        <sz val="10"/>
        <color rgb="FF0000FF"/>
        <rFont val="Noto Sans CJK SC"/>
        <family val="2"/>
      </rPr>
      <t xml:space="preserve">차시별 </t>
    </r>
    <r>
      <rPr>
        <sz val="10"/>
        <color rgb="FF0000FF"/>
        <rFont val="맑은 고딕"/>
        <family val="0"/>
        <charset val="1"/>
      </rPr>
      <t xml:space="preserve">LMS </t>
    </r>
    <r>
      <rPr>
        <sz val="10"/>
        <color rgb="FF0000FF"/>
        <rFont val="Noto Sans CJK SC"/>
        <family val="2"/>
      </rPr>
      <t xml:space="preserve">제출 과제 </t>
    </r>
    <r>
      <rPr>
        <sz val="10"/>
        <color rgb="FF0000FF"/>
        <rFont val="맑은 고딕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건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체크리스트 채점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제출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동작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코드품질</t>
    </r>
    <r>
      <rPr>
        <sz val="10"/>
        <color rgb="FF0000FF"/>
        <rFont val="맑은 고딕"/>
        <family val="0"/>
        <charset val="1"/>
      </rPr>
      <t xml:space="preserve">)</t>
    </r>
  </si>
  <si>
    <t xml:space="preserve">요소①②③</t>
  </si>
  <si>
    <r>
      <rPr>
        <sz val="10"/>
        <color rgb="FF0000FF"/>
        <rFont val="맑은 고딕"/>
        <family val="0"/>
        <charset val="1"/>
      </rPr>
      <t xml:space="preserve">LMS </t>
    </r>
    <r>
      <rPr>
        <sz val="10"/>
        <color rgb="FF0000FF"/>
        <rFont val="Noto Sans CJK SC"/>
        <family val="2"/>
      </rPr>
      <t xml:space="preserve">제출 기록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채점표</t>
    </r>
  </si>
  <si>
    <t xml:space="preserve">지필평가</t>
  </si>
  <si>
    <r>
      <rPr>
        <sz val="10"/>
        <color rgb="FF0000FF"/>
        <rFont val="Noto Sans CJK SC"/>
        <family val="2"/>
      </rPr>
      <t xml:space="preserve">객관식 </t>
    </r>
    <r>
      <rPr>
        <sz val="10"/>
        <color rgb="FF0000FF"/>
        <rFont val="맑은 고딕"/>
        <family val="0"/>
        <charset val="1"/>
      </rPr>
      <t xml:space="preserve">20</t>
    </r>
    <r>
      <rPr>
        <sz val="10"/>
        <color rgb="FF0000FF"/>
        <rFont val="Noto Sans CJK SC"/>
        <family val="2"/>
      </rPr>
      <t xml:space="preserve">문항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단답 </t>
    </r>
    <r>
      <rPr>
        <sz val="10"/>
        <color rgb="FF0000FF"/>
        <rFont val="맑은 고딕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문항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코드 해석 </t>
    </r>
    <r>
      <rPr>
        <sz val="10"/>
        <color rgb="FF0000FF"/>
        <rFont val="맑은 고딕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문항</t>
    </r>
    <r>
      <rPr>
        <sz val="10"/>
        <color rgb="FF0000FF"/>
        <rFont val="맑은 고딕"/>
        <family val="0"/>
        <charset val="1"/>
      </rPr>
      <t xml:space="preserve">, 40</t>
    </r>
    <r>
      <rPr>
        <sz val="10"/>
        <color rgb="FF0000FF"/>
        <rFont val="Noto Sans CJK SC"/>
        <family val="2"/>
      </rPr>
      <t xml:space="preserve">분</t>
    </r>
  </si>
  <si>
    <t xml:space="preserve">요소①②③ 전체</t>
  </si>
  <si>
    <r>
      <rPr>
        <sz val="10"/>
        <color rgb="FF0000FF"/>
        <rFont val="Noto Sans CJK SC"/>
        <family val="2"/>
      </rPr>
      <t xml:space="preserve">평가지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답안지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성적표</t>
    </r>
  </si>
  <si>
    <r>
      <rPr>
        <sz val="10"/>
        <color rgb="FF0000FF"/>
        <rFont val="Noto Sans CJK SC"/>
        <family val="2"/>
      </rPr>
      <t xml:space="preserve">실무평가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프로젝트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</si>
  <si>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팀 프로젝트 산출물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설계서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코드</t>
    </r>
    <r>
      <rPr>
        <sz val="10"/>
        <color rgb="FF0000FF"/>
        <rFont val="맑은 고딕"/>
        <family val="0"/>
        <charset val="1"/>
      </rPr>
      <t xml:space="preserve">·README) + </t>
    </r>
    <r>
      <rPr>
        <sz val="10"/>
        <color rgb="FF0000FF"/>
        <rFont val="Noto Sans CJK SC"/>
        <family val="2"/>
      </rPr>
      <t xml:space="preserve">발표 </t>
    </r>
    <r>
      <rPr>
        <sz val="10"/>
        <color rgb="FF0000FF"/>
        <rFont val="맑은 고딕"/>
        <family val="0"/>
        <charset val="1"/>
      </rPr>
      <t xml:space="preserve">+ </t>
    </r>
    <r>
      <rPr>
        <sz val="10"/>
        <color rgb="FF0000FF"/>
        <rFont val="Noto Sans CJK SC"/>
        <family val="2"/>
      </rPr>
      <t xml:space="preserve">개인 코딩 과제</t>
    </r>
    <r>
      <rPr>
        <sz val="10"/>
        <color rgb="FF0000FF"/>
        <rFont val="맑은 고딕"/>
        <family val="0"/>
        <charset val="1"/>
      </rPr>
      <t xml:space="preserve">(60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루브릭 채점</t>
    </r>
  </si>
  <si>
    <t xml:space="preserve">요소①②③ 통합</t>
  </si>
  <si>
    <r>
      <rPr>
        <sz val="10"/>
        <color rgb="FF0000FF"/>
        <rFont val="맑은 고딕"/>
        <family val="0"/>
        <charset val="1"/>
      </rPr>
      <t xml:space="preserve">GitHub </t>
    </r>
    <r>
      <rPr>
        <sz val="10"/>
        <color rgb="FF0000FF"/>
        <rFont val="Noto Sans CJK SC"/>
        <family val="2"/>
      </rPr>
      <t xml:space="preserve">링크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발표자료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루브릭 채점표</t>
    </r>
  </si>
  <si>
    <r>
      <rPr>
        <b val="true"/>
        <sz val="10"/>
        <color rgb="FF000000"/>
        <rFont val="Noto Sans CJK SC"/>
        <family val="2"/>
      </rPr>
      <t xml:space="preserve">평가 시간 합계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Noto Sans CJK SC"/>
        <family val="2"/>
      </rPr>
      <t xml:space="preserve">훈련시간 포함</t>
    </r>
    <r>
      <rPr>
        <b val="true"/>
        <sz val="10"/>
        <color rgb="FF000000"/>
        <rFont val="맑은 고딕"/>
        <family val="0"/>
        <charset val="1"/>
      </rPr>
      <t xml:space="preserve">) →</t>
    </r>
  </si>
  <si>
    <r>
      <rPr>
        <b val="true"/>
        <sz val="11"/>
        <color rgb="FFFFFFFF"/>
        <rFont val="맑은 고딕"/>
        <family val="0"/>
        <charset val="1"/>
      </rPr>
      <t xml:space="preserve">2. </t>
    </r>
    <r>
      <rPr>
        <b val="true"/>
        <sz val="11"/>
        <color rgb="FFFFFFFF"/>
        <rFont val="Noto Sans CJK SC"/>
        <family val="2"/>
      </rPr>
      <t xml:space="preserve">실무평가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프로젝트</t>
    </r>
    <r>
      <rPr>
        <b val="true"/>
        <sz val="11"/>
        <color rgb="FFFFFFFF"/>
        <rFont val="맑은 고딕"/>
        <family val="0"/>
        <charset val="1"/>
      </rPr>
      <t xml:space="preserve">) </t>
    </r>
    <r>
      <rPr>
        <b val="true"/>
        <sz val="11"/>
        <color rgb="FFFFFFFF"/>
        <rFont val="Noto Sans CJK SC"/>
        <family val="2"/>
      </rPr>
      <t xml:space="preserve">채점 루브릭</t>
    </r>
  </si>
  <si>
    <t xml:space="preserve">평가 항목</t>
  </si>
  <si>
    <t xml:space="preserve">배점</t>
  </si>
  <si>
    <r>
      <rPr>
        <b val="true"/>
        <sz val="10"/>
        <color rgb="FFFFFFFF"/>
        <rFont val="Noto Sans CJK SC"/>
        <family val="2"/>
      </rPr>
      <t xml:space="preserve">우수</t>
    </r>
    <r>
      <rPr>
        <b val="true"/>
        <sz val="10"/>
        <color rgb="FFFFFFFF"/>
        <rFont val="맑은 고딕"/>
        <family val="0"/>
        <charset val="1"/>
      </rPr>
      <t xml:space="preserve">(90~100%)</t>
    </r>
  </si>
  <si>
    <r>
      <rPr>
        <b val="true"/>
        <sz val="10"/>
        <color rgb="FFFFFFFF"/>
        <rFont val="Noto Sans CJK SC"/>
        <family val="2"/>
      </rPr>
      <t xml:space="preserve">보통</t>
    </r>
    <r>
      <rPr>
        <b val="true"/>
        <sz val="10"/>
        <color rgb="FFFFFFFF"/>
        <rFont val="맑은 고딕"/>
        <family val="0"/>
        <charset val="1"/>
      </rPr>
      <t xml:space="preserve">(70~89%)</t>
    </r>
  </si>
  <si>
    <r>
      <rPr>
        <b val="true"/>
        <sz val="10"/>
        <color rgb="FFFFFFFF"/>
        <rFont val="Noto Sans CJK SC"/>
        <family val="2"/>
      </rPr>
      <t xml:space="preserve">미흡</t>
    </r>
    <r>
      <rPr>
        <b val="true"/>
        <sz val="10"/>
        <color rgb="FFFFFFFF"/>
        <rFont val="맑은 고딕"/>
        <family val="0"/>
        <charset val="1"/>
      </rPr>
      <t xml:space="preserve">(~69%)</t>
    </r>
  </si>
  <si>
    <t xml:space="preserve">관련 수행준거</t>
  </si>
  <si>
    <t xml:space="preserve">채점 근거</t>
  </si>
  <si>
    <r>
      <rPr>
        <sz val="10"/>
        <color rgb="FF0000FF"/>
        <rFont val="Noto Sans CJK SC"/>
        <family val="2"/>
      </rPr>
      <t xml:space="preserve">요구사항 분석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설계</t>
    </r>
  </si>
  <si>
    <r>
      <rPr>
        <sz val="10"/>
        <color rgb="FF0000FF"/>
        <rFont val="Noto Sans CJK SC"/>
        <family val="2"/>
      </rPr>
      <t xml:space="preserve">요구사항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기능 명세가 명확하고 설계서와 구현이 일치</t>
    </r>
  </si>
  <si>
    <r>
      <rPr>
        <sz val="10"/>
        <color rgb="FF0000FF"/>
        <rFont val="Noto Sans CJK SC"/>
        <family val="2"/>
      </rPr>
      <t xml:space="preserve">명세는 있으나 일부 기능 누락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불일치</t>
    </r>
  </si>
  <si>
    <t xml:space="preserve">설계서 미흡 또는 미제출</t>
  </si>
  <si>
    <t xml:space="preserve">설계서</t>
  </si>
  <si>
    <r>
      <rPr>
        <sz val="10"/>
        <color rgb="FF0000FF"/>
        <rFont val="Noto Sans CJK SC"/>
        <family val="2"/>
      </rPr>
      <t xml:space="preserve">기본문법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자료구조 활용</t>
    </r>
  </si>
  <si>
    <r>
      <rPr>
        <sz val="10"/>
        <color rgb="FF0000FF"/>
        <rFont val="Noto Sans CJK SC"/>
        <family val="2"/>
      </rPr>
      <t xml:space="preserve">적절한 자료구조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제어문을 선택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오류 없이 동작</t>
    </r>
  </si>
  <si>
    <r>
      <rPr>
        <sz val="10"/>
        <color rgb="FF0000FF"/>
        <rFont val="Noto Sans CJK SC"/>
        <family val="2"/>
      </rPr>
      <t xml:space="preserve">동작하나 비효율적 구조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일부 오류</t>
    </r>
  </si>
  <si>
    <t xml:space="preserve">핵심 기능 미동작</t>
  </si>
  <si>
    <t xml:space="preserve">1.1~1.3</t>
  </si>
  <si>
    <t xml:space="preserve">코드</t>
  </si>
  <si>
    <r>
      <rPr>
        <sz val="10"/>
        <color rgb="FF0000FF"/>
        <rFont val="Noto Sans CJK SC"/>
        <family val="2"/>
      </rPr>
      <t xml:space="preserve">함수화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객체지향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예외처리</t>
    </r>
  </si>
  <si>
    <r>
      <rPr>
        <sz val="10"/>
        <color rgb="FF0000FF"/>
        <rFont val="Noto Sans CJK SC"/>
        <family val="2"/>
      </rPr>
      <t xml:space="preserve">기능이 함수</t>
    </r>
    <r>
      <rPr>
        <sz val="10"/>
        <color rgb="FF0000FF"/>
        <rFont val="맑은 고딕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클래스로 모듈화되고 예외처리가 적용됨</t>
    </r>
  </si>
  <si>
    <r>
      <rPr>
        <sz val="10"/>
        <color rgb="FF0000FF"/>
        <rFont val="Noto Sans CJK SC"/>
        <family val="2"/>
      </rPr>
      <t xml:space="preserve">일부만 모듈화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예외처리 제한적</t>
    </r>
  </si>
  <si>
    <r>
      <rPr>
        <sz val="10"/>
        <color rgb="FF0000FF"/>
        <rFont val="Noto Sans CJK SC"/>
        <family val="2"/>
      </rPr>
      <t xml:space="preserve">단일 스크립트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예외처리 없음</t>
    </r>
  </si>
  <si>
    <t xml:space="preserve">2.1~2.3</t>
  </si>
  <si>
    <r>
      <rPr>
        <sz val="10"/>
        <color rgb="FF0000FF"/>
        <rFont val="Noto Sans CJK SC"/>
        <family val="2"/>
      </rPr>
      <t xml:space="preserve">라이브러리 활용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데이터 처리</t>
    </r>
  </si>
  <si>
    <r>
      <rPr>
        <sz val="10"/>
        <color rgb="FF0000FF"/>
        <rFont val="Noto Sans CJK SC"/>
        <family val="2"/>
      </rPr>
      <t xml:space="preserve">표준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외부 라이브러리를 목적에 맞게 활용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결과 정확</t>
    </r>
  </si>
  <si>
    <t xml:space="preserve">라이브러리 사용은 하나 활용도 낮음</t>
  </si>
  <si>
    <t xml:space="preserve">라이브러리 미활용</t>
  </si>
  <si>
    <t xml:space="preserve">3.1~3.2</t>
  </si>
  <si>
    <r>
      <rPr>
        <sz val="10"/>
        <color rgb="FF0000FF"/>
        <rFont val="Noto Sans CJK SC"/>
        <family val="2"/>
      </rPr>
      <t xml:space="preserve">코드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실행결과</t>
    </r>
  </si>
  <si>
    <r>
      <rPr>
        <sz val="10"/>
        <color rgb="FF0000FF"/>
        <rFont val="Noto Sans CJK SC"/>
        <family val="2"/>
      </rPr>
      <t xml:space="preserve">코드 품질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문서화</t>
    </r>
    <r>
      <rPr>
        <sz val="10"/>
        <color rgb="FF0000FF"/>
        <rFont val="맑은 고딕"/>
        <family val="0"/>
        <charset val="1"/>
      </rPr>
      <t xml:space="preserve">(README·Git)</t>
    </r>
  </si>
  <si>
    <r>
      <rPr>
        <sz val="10"/>
        <color rgb="FF0000FF"/>
        <rFont val="Noto Sans CJK SC"/>
        <family val="2"/>
      </rPr>
      <t xml:space="preserve">명명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주석</t>
    </r>
    <r>
      <rPr>
        <sz val="10"/>
        <color rgb="FF0000FF"/>
        <rFont val="맑은 고딕"/>
        <family val="0"/>
        <charset val="1"/>
      </rPr>
      <t xml:space="preserve">·README </t>
    </r>
    <r>
      <rPr>
        <sz val="10"/>
        <color rgb="FF0000FF"/>
        <rFont val="Noto Sans CJK SC"/>
        <family val="2"/>
      </rPr>
      <t xml:space="preserve">충실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커밋 이력 규칙적</t>
    </r>
  </si>
  <si>
    <r>
      <rPr>
        <sz val="10"/>
        <color rgb="FF0000FF"/>
        <rFont val="맑은 고딕"/>
        <family val="0"/>
        <charset val="1"/>
      </rPr>
      <t xml:space="preserve">README </t>
    </r>
    <r>
      <rPr>
        <sz val="10"/>
        <color rgb="FF0000FF"/>
        <rFont val="Noto Sans CJK SC"/>
        <family val="2"/>
      </rPr>
      <t xml:space="preserve">있으나 미흡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커밋 불규칙</t>
    </r>
  </si>
  <si>
    <r>
      <rPr>
        <sz val="10"/>
        <color rgb="FF0000FF"/>
        <rFont val="Noto Sans CJK SC"/>
        <family val="2"/>
      </rPr>
      <t xml:space="preserve">문서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이력 없음</t>
    </r>
  </si>
  <si>
    <t xml:space="preserve">GitHub</t>
  </si>
  <si>
    <r>
      <rPr>
        <sz val="10"/>
        <color rgb="FF0000FF"/>
        <rFont val="Noto Sans CJK SC"/>
        <family val="2"/>
      </rPr>
      <t xml:space="preserve">발표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협업</t>
    </r>
  </si>
  <si>
    <r>
      <rPr>
        <sz val="10"/>
        <color rgb="FF0000FF"/>
        <rFont val="Noto Sans CJK SC"/>
        <family val="2"/>
      </rPr>
      <t xml:space="preserve">역할 분담 명확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발표 논리적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질의응답 적절</t>
    </r>
  </si>
  <si>
    <r>
      <rPr>
        <sz val="10"/>
        <color rgb="FF0000FF"/>
        <rFont val="Noto Sans CJK SC"/>
        <family val="2"/>
      </rPr>
      <t xml:space="preserve">발표는 하나 역할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근거 불명확</t>
    </r>
  </si>
  <si>
    <t xml:space="preserve">발표 미참여</t>
  </si>
  <si>
    <r>
      <rPr>
        <sz val="10"/>
        <color rgb="FF0000FF"/>
        <rFont val="Noto Sans CJK SC"/>
        <family val="2"/>
      </rPr>
      <t xml:space="preserve">발표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관찰</t>
    </r>
  </si>
  <si>
    <r>
      <rPr>
        <sz val="10"/>
        <color rgb="FF0000FF"/>
        <rFont val="Noto Sans CJK SC"/>
        <family val="2"/>
      </rPr>
      <t xml:space="preserve">개인 코딩 과제</t>
    </r>
    <r>
      <rPr>
        <sz val="10"/>
        <color rgb="FF0000FF"/>
        <rFont val="맑은 고딕"/>
        <family val="0"/>
        <charset val="1"/>
      </rPr>
      <t xml:space="preserve">(60</t>
    </r>
    <r>
      <rPr>
        <sz val="10"/>
        <color rgb="FF0000FF"/>
        <rFont val="Noto Sans CJK SC"/>
        <family val="2"/>
      </rPr>
      <t xml:space="preserve">분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</si>
  <si>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요구 기능 전부 구현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테스트 통과</t>
    </r>
  </si>
  <si>
    <t xml:space="preserve">일부 구현</t>
  </si>
  <si>
    <t xml:space="preserve">미구현</t>
  </si>
  <si>
    <r>
      <rPr>
        <sz val="10"/>
        <color rgb="FF0000FF"/>
        <rFont val="맑은 고딕"/>
        <family val="0"/>
        <charset val="1"/>
      </rPr>
      <t xml:space="preserve">1~3 </t>
    </r>
    <r>
      <rPr>
        <sz val="10"/>
        <color rgb="FF0000FF"/>
        <rFont val="Noto Sans CJK SC"/>
        <family val="2"/>
      </rPr>
      <t xml:space="preserve">종합</t>
    </r>
  </si>
  <si>
    <t xml:space="preserve">제출 코드</t>
  </si>
  <si>
    <t xml:space="preserve">배점 합계</t>
  </si>
  <si>
    <r>
      <rPr>
        <b val="true"/>
        <sz val="11"/>
        <color rgb="FFFFFFFF"/>
        <rFont val="맑은 고딕"/>
        <family val="0"/>
        <charset val="1"/>
      </rPr>
      <t xml:space="preserve">3. </t>
    </r>
    <r>
      <rPr>
        <b val="true"/>
        <sz val="11"/>
        <color rgb="FFFFFFFF"/>
        <rFont val="Noto Sans CJK SC"/>
        <family val="2"/>
      </rPr>
      <t xml:space="preserve">이수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재평가 기준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훈련유형별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</si>
  <si>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출석 기준</t>
  </si>
  <si>
    <t xml:space="preserve">성적 기준</t>
  </si>
  <si>
    <r>
      <rPr>
        <b val="true"/>
        <sz val="10"/>
        <color rgb="FFFFFFFF"/>
        <rFont val="Noto Sans CJK SC"/>
        <family val="2"/>
      </rPr>
      <t xml:space="preserve">재평가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보충</t>
    </r>
  </si>
  <si>
    <t xml:space="preserve">성적 산출</t>
  </si>
  <si>
    <t xml:space="preserve">근거</t>
  </si>
  <si>
    <t xml:space="preserve">과정평가형</t>
  </si>
  <si>
    <r>
      <rPr>
        <sz val="10"/>
        <color rgb="FF0000FF"/>
        <rFont val="Noto Sans CJK SC"/>
        <family val="2"/>
      </rPr>
      <t xml:space="preserve">능력단위별 출석률 </t>
    </r>
    <r>
      <rPr>
        <sz val="10"/>
        <color rgb="FF0000FF"/>
        <rFont val="맑은 고딕"/>
        <family val="0"/>
        <charset val="1"/>
      </rPr>
      <t xml:space="preserve">75% </t>
    </r>
    <r>
      <rPr>
        <sz val="10"/>
        <color rgb="FF0000FF"/>
        <rFont val="Noto Sans CJK SC"/>
        <family val="2"/>
      </rPr>
      <t xml:space="preserve">이상</t>
    </r>
  </si>
  <si>
    <r>
      <rPr>
        <sz val="10"/>
        <color rgb="FF0000FF"/>
        <rFont val="Noto Sans CJK SC"/>
        <family val="2"/>
      </rPr>
      <t xml:space="preserve">능력단위별 </t>
    </r>
    <r>
      <rPr>
        <sz val="10"/>
        <color rgb="FF0000FF"/>
        <rFont val="맑은 고딕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점 환산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모든 내부평가 참여 필수</t>
    </r>
  </si>
  <si>
    <r>
      <rPr>
        <sz val="10"/>
        <color rgb="FF0000FF"/>
        <rFont val="Noto Sans CJK SC"/>
        <family val="2"/>
      </rPr>
      <t xml:space="preserve">미참여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미달 시 </t>
    </r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회 재평가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동일 난이도 대체 문항</t>
    </r>
    <r>
      <rPr>
        <sz val="10"/>
        <color rgb="FF0000FF"/>
        <rFont val="맑은 고딕"/>
        <family val="0"/>
        <charset val="1"/>
      </rPr>
      <t xml:space="preserve">), </t>
    </r>
    <r>
      <rPr>
        <sz val="10"/>
        <color rgb="FF0000FF"/>
        <rFont val="Noto Sans CJK SC"/>
        <family val="2"/>
      </rPr>
      <t xml:space="preserve">재평가 결과로 대체</t>
    </r>
  </si>
  <si>
    <r>
      <rPr>
        <sz val="10"/>
        <color rgb="FF0000FF"/>
        <rFont val="Noto Sans CJK SC"/>
        <family val="2"/>
      </rPr>
      <t xml:space="preserve">내부평가 성적은 외부평가와 </t>
    </r>
    <r>
      <rPr>
        <sz val="10"/>
        <color rgb="FF0000FF"/>
        <rFont val="맑은 고딕"/>
        <family val="0"/>
        <charset val="1"/>
      </rPr>
      <t xml:space="preserve">1:1 </t>
    </r>
    <r>
      <rPr>
        <sz val="10"/>
        <color rgb="FF0000FF"/>
        <rFont val="Noto Sans CJK SC"/>
        <family val="2"/>
      </rPr>
      <t xml:space="preserve">반영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평균 </t>
    </r>
    <r>
      <rPr>
        <sz val="10"/>
        <color rgb="FF0000FF"/>
        <rFont val="맑은 고딕"/>
        <family val="0"/>
        <charset val="1"/>
      </rPr>
      <t xml:space="preserve">80</t>
    </r>
    <r>
      <rPr>
        <sz val="10"/>
        <color rgb="FF0000FF"/>
        <rFont val="Noto Sans CJK SC"/>
        <family val="2"/>
      </rPr>
      <t xml:space="preserve">점 이상 합격</t>
    </r>
  </si>
  <si>
    <t xml:space="preserve">큐넷 과정평가형 운영절차</t>
  </si>
  <si>
    <r>
      <rPr>
        <sz val="10"/>
        <color rgb="FF0000FF"/>
        <rFont val="Noto Sans CJK SC"/>
        <family val="2"/>
      </rPr>
      <t xml:space="preserve">일반 국비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계좌제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</si>
  <si>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교과 출석률 </t>
    </r>
    <r>
      <rPr>
        <sz val="10"/>
        <color rgb="FF0000FF"/>
        <rFont val="맑은 고딕"/>
        <family val="0"/>
        <charset val="1"/>
      </rPr>
      <t xml:space="preserve">80% </t>
    </r>
    <r>
      <rPr>
        <sz val="10"/>
        <color rgb="FF0000FF"/>
        <rFont val="Noto Sans CJK SC"/>
        <family val="2"/>
      </rPr>
      <t xml:space="preserve">이상 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과정 전체 기준 준용</t>
    </r>
    <r>
      <rPr>
        <sz val="10"/>
        <color rgb="FF0000FF"/>
        <rFont val="맑은 고딕"/>
        <family val="0"/>
        <charset val="1"/>
      </rPr>
      <t xml:space="preserve">)</t>
    </r>
  </si>
  <si>
    <r>
      <rPr>
        <sz val="10"/>
        <color rgb="FF0000FF"/>
        <rFont val="Noto Sans CJK SC"/>
        <family val="2"/>
      </rPr>
      <t xml:space="preserve">종합 </t>
    </r>
    <r>
      <rPr>
        <sz val="10"/>
        <color rgb="FF0000FF"/>
        <rFont val="맑은 고딕"/>
        <family val="0"/>
        <charset val="1"/>
      </rPr>
      <t xml:space="preserve">60</t>
    </r>
    <r>
      <rPr>
        <sz val="10"/>
        <color rgb="FF0000FF"/>
        <rFont val="Noto Sans CJK SC"/>
        <family val="2"/>
      </rPr>
      <t xml:space="preserve">점 이상</t>
    </r>
  </si>
  <si>
    <r>
      <rPr>
        <sz val="10"/>
        <color rgb="FF0000FF"/>
        <rFont val="맑은 고딕"/>
        <family val="0"/>
        <charset val="1"/>
      </rPr>
      <t xml:space="preserve">60</t>
    </r>
    <r>
      <rPr>
        <sz val="10"/>
        <color rgb="FF0000FF"/>
        <rFont val="Noto Sans CJK SC"/>
        <family val="2"/>
      </rPr>
      <t xml:space="preserve">점 미만 시 보충학습 후 재평가 </t>
    </r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회</t>
    </r>
  </si>
  <si>
    <r>
      <rPr>
        <sz val="10"/>
        <color rgb="FF0000FF"/>
        <rFont val="Noto Sans CJK SC"/>
        <family val="2"/>
      </rPr>
      <t xml:space="preserve">가중 합산 </t>
    </r>
    <r>
      <rPr>
        <sz val="10"/>
        <color rgb="FF0000FF"/>
        <rFont val="맑은 고딕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점 만점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수료 시 성적증명 발급</t>
    </r>
  </si>
  <si>
    <r>
      <rPr>
        <sz val="10"/>
        <color rgb="FF0000FF"/>
        <rFont val="Noto Sans CJK SC"/>
        <family val="2"/>
      </rPr>
      <t xml:space="preserve">기관 학칙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훈련규정</t>
    </r>
  </si>
  <si>
    <t xml:space="preserve">KDT</t>
  </si>
  <si>
    <r>
      <rPr>
        <sz val="10"/>
        <color rgb="FF0000FF"/>
        <rFont val="Noto Sans CJK SC"/>
        <family val="2"/>
      </rPr>
      <t xml:space="preserve">교과 출석률 </t>
    </r>
    <r>
      <rPr>
        <sz val="10"/>
        <color rgb="FF0000FF"/>
        <rFont val="맑은 고딕"/>
        <family val="0"/>
        <charset val="1"/>
      </rPr>
      <t xml:space="preserve">80% </t>
    </r>
    <r>
      <rPr>
        <sz val="10"/>
        <color rgb="FF0000FF"/>
        <rFont val="Noto Sans CJK SC"/>
        <family val="2"/>
      </rPr>
      <t xml:space="preserve">이상</t>
    </r>
  </si>
  <si>
    <r>
      <rPr>
        <sz val="10"/>
        <color rgb="FF0000FF"/>
        <rFont val="Noto Sans CJK SC"/>
        <family val="2"/>
      </rPr>
      <t xml:space="preserve">프로젝트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실무</t>
    </r>
    <r>
      <rPr>
        <sz val="10"/>
        <color rgb="FF0000FF"/>
        <rFont val="맑은 고딕"/>
        <family val="0"/>
        <charset val="1"/>
      </rPr>
      <t xml:space="preserve">)</t>
    </r>
    <r>
      <rPr>
        <sz val="10"/>
        <color rgb="FF0000FF"/>
        <rFont val="Noto Sans CJK SC"/>
        <family val="2"/>
      </rPr>
      <t xml:space="preserve">평가 필수 참여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종합 </t>
    </r>
    <r>
      <rPr>
        <sz val="10"/>
        <color rgb="FF0000FF"/>
        <rFont val="맑은 고딕"/>
        <family val="0"/>
        <charset val="1"/>
      </rPr>
      <t xml:space="preserve">60</t>
    </r>
    <r>
      <rPr>
        <sz val="10"/>
        <color rgb="FF0000FF"/>
        <rFont val="Noto Sans CJK SC"/>
        <family val="2"/>
      </rPr>
      <t xml:space="preserve">점 이상</t>
    </r>
  </si>
  <si>
    <t xml:space="preserve">프로젝트 미제출 시 개인 과제로 대체 평가</t>
  </si>
  <si>
    <t xml:space="preserve">역량 진단 결과와 함께 훈련생 포트폴리오에 반영</t>
  </si>
  <si>
    <r>
      <rPr>
        <sz val="10"/>
        <color rgb="FF0000FF"/>
        <rFont val="Noto Sans CJK SC"/>
        <family val="2"/>
      </rPr>
      <t xml:space="preserve">기관 </t>
    </r>
    <r>
      <rPr>
        <sz val="10"/>
        <color rgb="FF0000FF"/>
        <rFont val="맑은 고딕"/>
        <family val="0"/>
        <charset val="1"/>
      </rPr>
      <t xml:space="preserve">KDT </t>
    </r>
    <r>
      <rPr>
        <sz val="10"/>
        <color rgb="FF0000FF"/>
        <rFont val="Noto Sans CJK SC"/>
        <family val="2"/>
      </rPr>
      <t xml:space="preserve">운영계획</t>
    </r>
  </si>
  <si>
    <r>
      <rPr>
        <sz val="9"/>
        <color rgb="FF595959"/>
        <rFont val="Noto Sans CJK SC"/>
        <family val="2"/>
      </rPr>
      <t xml:space="preserve">※ 능력단위별 </t>
    </r>
    <r>
      <rPr>
        <sz val="9"/>
        <color rgb="FF595959"/>
        <rFont val="맑은 고딕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점 환산 예시</t>
    </r>
    <r>
      <rPr>
        <sz val="9"/>
        <color rgb="FF595959"/>
        <rFont val="맑은 고딕"/>
        <family val="0"/>
        <charset val="1"/>
      </rPr>
      <t xml:space="preserve">: </t>
    </r>
    <r>
      <rPr>
        <sz val="9"/>
        <color rgb="FF595959"/>
        <rFont val="Noto Sans CJK SC"/>
        <family val="2"/>
      </rPr>
      <t xml:space="preserve">요소① </t>
    </r>
    <r>
      <rPr>
        <sz val="9"/>
        <color rgb="FF595959"/>
        <rFont val="맑은 고딕"/>
        <family val="0"/>
        <charset val="1"/>
      </rPr>
      <t xml:space="preserve">= (</t>
    </r>
    <r>
      <rPr>
        <sz val="9"/>
        <color rgb="FF595959"/>
        <rFont val="Noto Sans CJK SC"/>
        <family val="2"/>
      </rPr>
      <t xml:space="preserve">형성평가①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관련 실습과제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지필 해당 문항 </t>
    </r>
    <r>
      <rPr>
        <sz val="9"/>
        <color rgb="FF595959"/>
        <rFont val="맑은 고딕"/>
        <family val="0"/>
        <charset val="1"/>
      </rPr>
      <t xml:space="preserve">+ </t>
    </r>
    <r>
      <rPr>
        <sz val="9"/>
        <color rgb="FF595959"/>
        <rFont val="Noto Sans CJK SC"/>
        <family val="2"/>
      </rPr>
      <t xml:space="preserve">루브릭 항목</t>
    </r>
    <r>
      <rPr>
        <sz val="9"/>
        <color rgb="FF595959"/>
        <rFont val="맑은 고딕"/>
        <family val="0"/>
        <charset val="1"/>
      </rPr>
      <t xml:space="preserve">2) </t>
    </r>
    <r>
      <rPr>
        <sz val="9"/>
        <color rgb="FF595959"/>
        <rFont val="Noto Sans CJK SC"/>
        <family val="2"/>
      </rPr>
      <t xml:space="preserve">득점 합 </t>
    </r>
    <r>
      <rPr>
        <sz val="9"/>
        <color rgb="FF595959"/>
        <rFont val="맑은 고딕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만점 </t>
    </r>
    <r>
      <rPr>
        <sz val="9"/>
        <color rgb="FF595959"/>
        <rFont val="맑은 고딕"/>
        <family val="0"/>
        <charset val="1"/>
      </rPr>
      <t xml:space="preserve">× 100. </t>
    </r>
    <r>
      <rPr>
        <sz val="9"/>
        <color rgb="FF595959"/>
        <rFont val="Noto Sans CJK SC"/>
        <family val="2"/>
      </rPr>
      <t xml:space="preserve">산출식은 교무와 협의해 확정하고 성적표 양식에 명시한다</t>
    </r>
    <r>
      <rPr>
        <sz val="9"/>
        <color rgb="FF595959"/>
        <rFont val="맑은 고딕"/>
        <family val="0"/>
        <charset val="1"/>
      </rPr>
      <t xml:space="preserve">.</t>
    </r>
  </si>
  <si>
    <t xml:space="preserve">⑥ 훈련생 안내문 — 파이썬 프로그래밍 기초</t>
  </si>
  <si>
    <r>
      <rPr>
        <sz val="9"/>
        <color rgb="FF595959"/>
        <rFont val="Noto Sans CJK SC"/>
        <family val="2"/>
      </rPr>
      <t xml:space="preserve">이 페이지만 인쇄</t>
    </r>
    <r>
      <rPr>
        <sz val="9"/>
        <color rgb="FF595959"/>
        <rFont val="맑은 고딕"/>
        <family val="0"/>
        <charset val="1"/>
      </rPr>
      <t xml:space="preserve">/PDF</t>
    </r>
    <r>
      <rPr>
        <sz val="9"/>
        <color rgb="FF595959"/>
        <rFont val="Noto Sans CJK SC"/>
        <family val="2"/>
      </rPr>
      <t xml:space="preserve">로 배포합니다</t>
    </r>
    <r>
      <rPr>
        <sz val="9"/>
        <color rgb="FF595959"/>
        <rFont val="맑은 고딕"/>
        <family val="0"/>
        <charset val="1"/>
      </rPr>
      <t xml:space="preserve">. </t>
    </r>
    <r>
      <rPr>
        <sz val="9"/>
        <color rgb="FF595959"/>
        <rFont val="Noto Sans CJK SC"/>
        <family val="2"/>
      </rPr>
      <t xml:space="preserve">기본 정보는 다른 시트에서 자동으로 가져옵니다</t>
    </r>
    <r>
      <rPr>
        <sz val="9"/>
        <color rgb="FF595959"/>
        <rFont val="맑은 고딕"/>
        <family val="0"/>
        <charset val="1"/>
      </rPr>
      <t xml:space="preserve">.</t>
    </r>
  </si>
  <si>
    <r>
      <rPr>
        <b val="true"/>
        <sz val="11"/>
        <color rgb="FFFFFFFF"/>
        <rFont val="맑은 고딕"/>
        <family val="0"/>
        <charset val="1"/>
      </rPr>
      <t xml:space="preserve">1. </t>
    </r>
    <r>
      <rPr>
        <b val="true"/>
        <sz val="11"/>
        <color rgb="FFFFFFFF"/>
        <rFont val="Noto Sans CJK SC"/>
        <family val="2"/>
      </rPr>
      <t xml:space="preserve">교과 기본 정보</t>
    </r>
  </si>
  <si>
    <t xml:space="preserve">훈련과정</t>
  </si>
  <si>
    <t xml:space="preserve">교과목</t>
  </si>
  <si>
    <t xml:space="preserve">강의실</t>
  </si>
  <si>
    <r>
      <rPr>
        <b val="true"/>
        <sz val="11"/>
        <color rgb="FFFFFFFF"/>
        <rFont val="맑은 고딕"/>
        <family val="0"/>
        <charset val="1"/>
      </rPr>
      <t xml:space="preserve">2. </t>
    </r>
    <r>
      <rPr>
        <b val="true"/>
        <sz val="11"/>
        <color rgb="FFFFFFFF"/>
        <rFont val="Noto Sans CJK SC"/>
        <family val="2"/>
      </rPr>
      <t xml:space="preserve">이 교과를 마치면</t>
    </r>
  </si>
  <si>
    <r>
      <rPr>
        <b val="true"/>
        <sz val="11"/>
        <color rgb="FFFFFFFF"/>
        <rFont val="맑은 고딕"/>
        <family val="0"/>
        <charset val="1"/>
      </rPr>
      <t xml:space="preserve">3. </t>
    </r>
    <r>
      <rPr>
        <b val="true"/>
        <sz val="11"/>
        <color rgb="FFFFFFFF"/>
        <rFont val="Noto Sans CJK SC"/>
        <family val="2"/>
      </rPr>
      <t xml:space="preserve">준비물 및 학습 환경</t>
    </r>
  </si>
  <si>
    <t xml:space="preserve">준비물</t>
  </si>
  <si>
    <r>
      <rPr>
        <sz val="10"/>
        <color rgb="FF0000FF"/>
        <rFont val="Noto Sans CJK SC"/>
        <family val="2"/>
      </rPr>
      <t xml:space="preserve">개인 노트북 지참 권장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없을 경우 실습실 </t>
    </r>
    <r>
      <rPr>
        <sz val="10"/>
        <color rgb="FF0000FF"/>
        <rFont val="맑은 고딕"/>
        <family val="0"/>
        <charset val="1"/>
      </rPr>
      <t xml:space="preserve">PC </t>
    </r>
    <r>
      <rPr>
        <sz val="10"/>
        <color rgb="FF0000FF"/>
        <rFont val="Noto Sans CJK SC"/>
        <family val="2"/>
      </rPr>
      <t xml:space="preserve">사용</t>
    </r>
    <r>
      <rPr>
        <sz val="10"/>
        <color rgb="FF0000FF"/>
        <rFont val="맑은 고딕"/>
        <family val="0"/>
        <charset val="1"/>
      </rPr>
      <t xml:space="preserve">), USB </t>
    </r>
    <r>
      <rPr>
        <sz val="10"/>
        <color rgb="FF0000FF"/>
        <rFont val="Noto Sans CJK SC"/>
        <family val="2"/>
      </rPr>
      <t xml:space="preserve">또는 클라우드 저장공간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필기도구</t>
    </r>
  </si>
  <si>
    <t xml:space="preserve">사전 설치</t>
  </si>
  <si>
    <r>
      <rPr>
        <sz val="10"/>
        <color rgb="FF0000FF"/>
        <rFont val="맑은 고딕"/>
        <family val="0"/>
        <charset val="1"/>
      </rPr>
      <t xml:space="preserve">Python 3.12, VS Code, GitHub </t>
    </r>
    <r>
      <rPr>
        <sz val="10"/>
        <color rgb="FF0000FF"/>
        <rFont val="Noto Sans CJK SC"/>
        <family val="2"/>
      </rPr>
      <t xml:space="preserve">계정 — </t>
    </r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차시에 함께 설치하므로 미리 못 해도 괜찮습니다</t>
    </r>
  </si>
  <si>
    <t xml:space="preserve">소통 채널</t>
  </si>
  <si>
    <r>
      <rPr>
        <b val="true"/>
        <sz val="11"/>
        <color rgb="FFFFFFFF"/>
        <rFont val="맑은 고딕"/>
        <family val="0"/>
        <charset val="1"/>
      </rPr>
      <t xml:space="preserve">4. </t>
    </r>
    <r>
      <rPr>
        <b val="true"/>
        <sz val="11"/>
        <color rgb="FFFFFFFF"/>
        <rFont val="Noto Sans CJK SC"/>
        <family val="2"/>
      </rPr>
      <t xml:space="preserve">수업 진행 순서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요약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</si>
  <si>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오전 </t>
    </r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교시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차시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주제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</si>
  <si>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오전 </t>
    </r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교시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차시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Noto Sans CJK SC"/>
        <family val="2"/>
      </rPr>
      <t xml:space="preserve">주제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</si>
  <si>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</si>
  <si>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</si>
  <si>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</si>
  <si>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</si>
  <si>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</si>
  <si>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</si>
  <si>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</si>
  <si>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</si>
  <si>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일차</t>
    </r>
  </si>
  <si>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일차</t>
    </r>
  </si>
  <si>
    <r>
      <rPr>
        <b val="true"/>
        <sz val="11"/>
        <color rgb="FFFFFFFF"/>
        <rFont val="맑은 고딕"/>
        <family val="0"/>
        <charset val="1"/>
      </rPr>
      <t xml:space="preserve">5. </t>
    </r>
    <r>
      <rPr>
        <b val="true"/>
        <sz val="11"/>
        <color rgb="FFFFFFFF"/>
        <rFont val="Noto Sans CJK SC"/>
        <family val="2"/>
      </rPr>
      <t xml:space="preserve">과제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평가</t>
    </r>
    <r>
      <rPr>
        <b val="true"/>
        <sz val="11"/>
        <color rgb="FFFFFFFF"/>
        <rFont val="맑은 고딕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출결 안내</t>
    </r>
  </si>
  <si>
    <t xml:space="preserve">과제</t>
  </si>
  <si>
    <r>
      <rPr>
        <sz val="10"/>
        <color rgb="FF0000FF"/>
        <rFont val="Noto Sans CJK SC"/>
        <family val="2"/>
      </rPr>
      <t xml:space="preserve">매 차시 실습과제를 </t>
    </r>
    <r>
      <rPr>
        <sz val="10"/>
        <color rgb="FF0000FF"/>
        <rFont val="맑은 고딕"/>
        <family val="0"/>
        <charset val="1"/>
      </rPr>
      <t xml:space="preserve">LMS</t>
    </r>
    <r>
      <rPr>
        <sz val="10"/>
        <color rgb="FF0000FF"/>
        <rFont val="Noto Sans CJK SC"/>
        <family val="2"/>
      </rPr>
      <t xml:space="preserve">에 다음 수업 전까지 제출합니다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지각 제출은 감점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미제출은 </t>
    </r>
    <r>
      <rPr>
        <sz val="10"/>
        <color rgb="FF0000FF"/>
        <rFont val="맑은 고딕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점 처리됩니다</t>
    </r>
    <r>
      <rPr>
        <sz val="10"/>
        <color rgb="FF0000FF"/>
        <rFont val="맑은 고딕"/>
        <family val="0"/>
        <charset val="1"/>
      </rPr>
      <t xml:space="preserve">.</t>
    </r>
  </si>
  <si>
    <t xml:space="preserve">평가</t>
  </si>
  <si>
    <t xml:space="preserve">평가 일정</t>
  </si>
  <si>
    <r>
      <rPr>
        <sz val="10"/>
        <color rgb="FF0000FF"/>
        <rFont val="Noto Sans CJK SC"/>
        <family val="2"/>
      </rPr>
      <t xml:space="preserve">형성평가</t>
    </r>
    <r>
      <rPr>
        <sz val="10"/>
        <color rgb="FF0000FF"/>
        <rFont val="맑은 고딕"/>
        <family val="0"/>
        <charset val="1"/>
      </rPr>
      <t xml:space="preserve">: 7</t>
    </r>
    <r>
      <rPr>
        <sz val="10"/>
        <color rgb="FF0000FF"/>
        <rFont val="Noto Sans CJK SC"/>
        <family val="2"/>
      </rPr>
      <t xml:space="preserve">차시</t>
    </r>
    <r>
      <rPr>
        <sz val="10"/>
        <color rgb="FF0000FF"/>
        <rFont val="맑은 고딕"/>
        <family val="0"/>
        <charset val="1"/>
      </rPr>
      <t xml:space="preserve">·14</t>
    </r>
    <r>
      <rPr>
        <sz val="10"/>
        <color rgb="FF0000FF"/>
        <rFont val="Noto Sans CJK SC"/>
        <family val="2"/>
      </rPr>
      <t xml:space="preserve">차시 수업 중 </t>
    </r>
    <r>
      <rPr>
        <sz val="10"/>
        <color rgb="FF0000FF"/>
        <rFont val="맑은 고딕"/>
        <family val="0"/>
        <charset val="1"/>
      </rPr>
      <t xml:space="preserve">40</t>
    </r>
    <r>
      <rPr>
        <sz val="10"/>
        <color rgb="FF0000FF"/>
        <rFont val="Noto Sans CJK SC"/>
        <family val="2"/>
      </rPr>
      <t xml:space="preserve">분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지필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실무평가</t>
    </r>
    <r>
      <rPr>
        <sz val="10"/>
        <color rgb="FF0000FF"/>
        <rFont val="맑은 고딕"/>
        <family val="0"/>
        <charset val="1"/>
      </rPr>
      <t xml:space="preserve">: 20</t>
    </r>
    <r>
      <rPr>
        <sz val="10"/>
        <color rgb="FF0000FF"/>
        <rFont val="Noto Sans CJK SC"/>
        <family val="2"/>
      </rPr>
      <t xml:space="preserve">차시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마지막 날</t>
    </r>
    <r>
      <rPr>
        <sz val="10"/>
        <color rgb="FF0000FF"/>
        <rFont val="맑은 고딕"/>
        <family val="0"/>
        <charset val="1"/>
      </rPr>
      <t xml:space="preserve">) / </t>
    </r>
    <r>
      <rPr>
        <sz val="10"/>
        <color rgb="FF0000FF"/>
        <rFont val="Noto Sans CJK SC"/>
        <family val="2"/>
      </rPr>
      <t xml:space="preserve">프로젝트 발표</t>
    </r>
    <r>
      <rPr>
        <sz val="10"/>
        <color rgb="FF0000FF"/>
        <rFont val="맑은 고딕"/>
        <family val="0"/>
        <charset val="1"/>
      </rPr>
      <t xml:space="preserve">: 20</t>
    </r>
    <r>
      <rPr>
        <sz val="10"/>
        <color rgb="FF0000FF"/>
        <rFont val="Noto Sans CJK SC"/>
        <family val="2"/>
      </rPr>
      <t xml:space="preserve">차시</t>
    </r>
  </si>
  <si>
    <t xml:space="preserve">출결</t>
  </si>
  <si>
    <r>
      <rPr>
        <sz val="10"/>
        <color rgb="FF0000FF"/>
        <rFont val="Noto Sans CJK SC"/>
        <family val="2"/>
      </rPr>
      <t xml:space="preserve">수업 시작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종료 시 출결 체크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카드</t>
    </r>
    <r>
      <rPr>
        <sz val="10"/>
        <color rgb="FF0000FF"/>
        <rFont val="맑은 고딕"/>
        <family val="0"/>
        <charset val="1"/>
      </rPr>
      <t xml:space="preserve">/QR). </t>
    </r>
    <r>
      <rPr>
        <sz val="10"/>
        <color rgb="FF0000FF"/>
        <rFont val="Noto Sans CJK SC"/>
        <family val="2"/>
      </rPr>
      <t xml:space="preserve">지각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조퇴 </t>
    </r>
    <r>
      <rPr>
        <sz val="10"/>
        <color rgb="FF0000FF"/>
        <rFont val="맑은 고딕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회 </t>
    </r>
    <r>
      <rPr>
        <sz val="10"/>
        <color rgb="FF0000FF"/>
        <rFont val="맑은 고딕"/>
        <family val="0"/>
        <charset val="1"/>
      </rPr>
      <t xml:space="preserve">= </t>
    </r>
    <r>
      <rPr>
        <sz val="10"/>
        <color rgb="FF0000FF"/>
        <rFont val="Noto Sans CJK SC"/>
        <family val="2"/>
      </rPr>
      <t xml:space="preserve">결석 </t>
    </r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회</t>
    </r>
    <r>
      <rPr>
        <sz val="10"/>
        <color rgb="FF0000FF"/>
        <rFont val="맑은 고딕"/>
        <family val="0"/>
        <charset val="1"/>
      </rPr>
      <t xml:space="preserve">. </t>
    </r>
    <r>
      <rPr>
        <sz val="10"/>
        <color rgb="FF0000FF"/>
        <rFont val="Noto Sans CJK SC"/>
        <family val="2"/>
      </rPr>
      <t xml:space="preserve">훈련수당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수료 요건과 직결되므로 사유 발생 시 반드시 사전 연락</t>
    </r>
    <r>
      <rPr>
        <sz val="10"/>
        <color rgb="FF0000FF"/>
        <rFont val="맑은 고딕"/>
        <family val="0"/>
        <charset val="1"/>
      </rPr>
      <t xml:space="preserve">.</t>
    </r>
  </si>
  <si>
    <t xml:space="preserve">재평가</t>
  </si>
  <si>
    <r>
      <rPr>
        <sz val="10"/>
        <color rgb="FF0000FF"/>
        <rFont val="Noto Sans CJK SC"/>
        <family val="2"/>
      </rPr>
      <t xml:space="preserve">평가 미참여 또는 기준 미달 시 </t>
    </r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회 재평가 기회가 제공됩니다</t>
    </r>
    <r>
      <rPr>
        <sz val="10"/>
        <color rgb="FF0000FF"/>
        <rFont val="맑은 고딕"/>
        <family val="0"/>
        <charset val="1"/>
      </rPr>
      <t xml:space="preserve">(</t>
    </r>
    <r>
      <rPr>
        <sz val="10"/>
        <color rgb="FF0000FF"/>
        <rFont val="Noto Sans CJK SC"/>
        <family val="2"/>
      </rPr>
      <t xml:space="preserve">일정은 별도 안내</t>
    </r>
    <r>
      <rPr>
        <sz val="10"/>
        <color rgb="FF0000FF"/>
        <rFont val="맑은 고딕"/>
        <family val="0"/>
        <charset val="1"/>
      </rPr>
      <t xml:space="preserve">).</t>
    </r>
  </si>
  <si>
    <r>
      <rPr>
        <b val="true"/>
        <sz val="11"/>
        <color rgb="FFFFFFFF"/>
        <rFont val="맑은 고딕"/>
        <family val="0"/>
        <charset val="1"/>
      </rPr>
      <t xml:space="preserve">6. </t>
    </r>
    <r>
      <rPr>
        <b val="true"/>
        <sz val="11"/>
        <color rgb="FFFFFFFF"/>
        <rFont val="Noto Sans CJK SC"/>
        <family val="2"/>
      </rPr>
      <t xml:space="preserve">문의</t>
    </r>
  </si>
  <si>
    <t xml:space="preserve">강사</t>
  </si>
  <si>
    <r>
      <rPr>
        <sz val="10"/>
        <color rgb="FF0000FF"/>
        <rFont val="Noto Sans CJK SC"/>
        <family val="2"/>
      </rPr>
      <t xml:space="preserve">홍길동 강사 </t>
    </r>
    <r>
      <rPr>
        <sz val="10"/>
        <color rgb="FF0000FF"/>
        <rFont val="맑은 고딕"/>
        <family val="0"/>
        <charset val="1"/>
      </rPr>
      <t xml:space="preserve">/ </t>
    </r>
    <r>
      <rPr>
        <sz val="10"/>
        <color rgb="FF0000FF"/>
        <rFont val="Noto Sans CJK SC"/>
        <family val="2"/>
      </rPr>
      <t xml:space="preserve">슬랙 </t>
    </r>
    <r>
      <rPr>
        <sz val="10"/>
        <color rgb="FF0000FF"/>
        <rFont val="맑은 고딕"/>
        <family val="0"/>
        <charset val="1"/>
      </rPr>
      <t xml:space="preserve">DM </t>
    </r>
    <r>
      <rPr>
        <sz val="10"/>
        <color rgb="FF0000FF"/>
        <rFont val="Noto Sans CJK SC"/>
        <family val="2"/>
      </rPr>
      <t xml:space="preserve">또는 수업 전후 질의</t>
    </r>
  </si>
  <si>
    <r>
      <rPr>
        <b val="true"/>
        <sz val="10"/>
        <color rgb="FF000000"/>
        <rFont val="Noto Sans CJK SC"/>
        <family val="2"/>
      </rPr>
      <t xml:space="preserve">교무</t>
    </r>
    <r>
      <rPr>
        <b val="true"/>
        <sz val="10"/>
        <color rgb="FF000000"/>
        <rFont val="맑은 고딕"/>
        <family val="0"/>
        <charset val="1"/>
      </rPr>
      <t xml:space="preserve">/</t>
    </r>
    <r>
      <rPr>
        <b val="true"/>
        <sz val="10"/>
        <color rgb="FF000000"/>
        <rFont val="Noto Sans CJK SC"/>
        <family val="2"/>
      </rPr>
      <t xml:space="preserve">행정</t>
    </r>
  </si>
  <si>
    <r>
      <rPr>
        <sz val="10"/>
        <color rgb="FF0000FF"/>
        <rFont val="Noto Sans CJK SC"/>
        <family val="2"/>
      </rPr>
      <t xml:space="preserve">코리아</t>
    </r>
    <r>
      <rPr>
        <sz val="10"/>
        <color rgb="FF0000FF"/>
        <rFont val="맑은 고딕"/>
        <family val="0"/>
        <charset val="1"/>
      </rPr>
      <t xml:space="preserve">AI</t>
    </r>
    <r>
      <rPr>
        <sz val="10"/>
        <color rgb="FF0000FF"/>
        <rFont val="Noto Sans CJK SC"/>
        <family val="2"/>
      </rPr>
      <t xml:space="preserve">아카데미 교무팀 </t>
    </r>
    <r>
      <rPr>
        <sz val="10"/>
        <color rgb="FF0000FF"/>
        <rFont val="맑은 고딕"/>
        <family val="0"/>
        <charset val="1"/>
      </rPr>
      <t xml:space="preserve">02-000-0000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</si>
</sst>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&quot;시간&quot;"/>
    <numFmt numFmtId="166" formatCode="0%"/>
    <numFmt numFmtId="167" formatCode="0.0"/>
    <numFmt numFmtId="168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Noto Sans CJK SC"/>
      <family val="2"/>
    </font>
    <font>
      <b val="true"/>
      <sz val="16"/>
      <color rgb="FF1F3864"/>
      <name val="맑은 고딕"/>
      <family val="0"/>
      <charset val="1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color rgb="FF000000"/>
      <name val="맑은 고딕"/>
      <family val="0"/>
      <charset val="1"/>
    </font>
    <font>
      <b val="true"/>
      <sz val="11"/>
      <color rgb="FF000000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맑은 고딕"/>
      <family val="0"/>
      <charset val="1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맑은 고딕"/>
      <family val="0"/>
      <charset val="1"/>
    </font>
    <font>
      <b val="true"/>
      <sz val="11"/>
      <color rgb="FFFFFFFF"/>
      <name val="맑은 고딕"/>
      <family val="0"/>
      <charset val="1"/>
    </font>
    <font>
      <b val="true"/>
      <sz val="11"/>
      <color rgb="FFFFFFFF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맑은 고딕"/>
      <family val="0"/>
      <charset val="1"/>
    </font>
    <font>
      <sz val="10"/>
      <name val="Arial"/>
      <family val="2"/>
    </font>
    <font>
      <sz val="10"/>
      <name val="Noto Sans CJK SC"/>
      <family val="2"/>
    </font>
    <font>
      <b val="true"/>
      <sz val="10"/>
      <color rgb="FF0000FF"/>
      <name val="Noto Sans CJK SC"/>
      <family val="2"/>
    </font>
    <font>
      <b val="true"/>
      <sz val="10"/>
      <color rgb="FF0000FF"/>
      <name val="맑은 고딕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D9D9D9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6" min="4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7.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5" t="s">
        <v>4</v>
      </c>
    </row>
    <row r="6" customFormat="false" ht="15" hidden="false" customHeight="false" outlineLevel="0" collapsed="false">
      <c r="B6" s="6" t="s">
        <v>5</v>
      </c>
      <c r="C6" s="5" t="s">
        <v>6</v>
      </c>
    </row>
    <row r="7" customFormat="false" ht="15" hidden="false" customHeight="false" outlineLevel="0" collapsed="false">
      <c r="B7" s="7" t="s">
        <v>7</v>
      </c>
      <c r="C7" s="5" t="s">
        <v>8</v>
      </c>
    </row>
    <row r="8" customFormat="false" ht="15" hidden="false" customHeight="false" outlineLevel="0" collapsed="false">
      <c r="B8" s="8" t="s">
        <v>9</v>
      </c>
      <c r="C8" s="5" t="s">
        <v>10</v>
      </c>
    </row>
    <row r="10" customFormat="false" ht="17.15" hidden="false" customHeight="false" outlineLevel="0" collapsed="false">
      <c r="B10" s="3" t="s">
        <v>11</v>
      </c>
    </row>
    <row r="11" customFormat="false" ht="15" hidden="false" customHeight="false" outlineLevel="0" collapsed="false">
      <c r="B11" s="9" t="s">
        <v>12</v>
      </c>
      <c r="C11" s="9" t="s">
        <v>13</v>
      </c>
      <c r="D11" s="9" t="s">
        <v>14</v>
      </c>
      <c r="E11" s="9" t="s">
        <v>15</v>
      </c>
      <c r="F11" s="9" t="s">
        <v>16</v>
      </c>
    </row>
    <row r="12" customFormat="false" ht="15" hidden="false" customHeight="false" outlineLevel="0" collapsed="false">
      <c r="B12" s="5" t="s">
        <v>17</v>
      </c>
      <c r="C12" s="5" t="s">
        <v>18</v>
      </c>
      <c r="D12" s="10" t="s">
        <v>19</v>
      </c>
      <c r="E12" s="10" t="s">
        <v>20</v>
      </c>
      <c r="F12" s="11" t="s">
        <v>21</v>
      </c>
    </row>
    <row r="13" customFormat="false" ht="15" hidden="false" customHeight="false" outlineLevel="0" collapsed="false">
      <c r="B13" s="12" t="s">
        <v>22</v>
      </c>
      <c r="C13" s="12" t="s">
        <v>23</v>
      </c>
      <c r="D13" s="10" t="s">
        <v>19</v>
      </c>
      <c r="E13" s="10" t="s">
        <v>24</v>
      </c>
      <c r="F13" s="11" t="s">
        <v>21</v>
      </c>
    </row>
    <row r="14" customFormat="false" ht="15" hidden="false" customHeight="false" outlineLevel="0" collapsed="false">
      <c r="B14" s="5" t="s">
        <v>25</v>
      </c>
      <c r="C14" s="5" t="s">
        <v>26</v>
      </c>
      <c r="D14" s="10" t="s">
        <v>19</v>
      </c>
      <c r="E14" s="10" t="s">
        <v>19</v>
      </c>
      <c r="F14" s="11" t="s">
        <v>21</v>
      </c>
    </row>
    <row r="15" customFormat="false" ht="15" hidden="false" customHeight="false" outlineLevel="0" collapsed="false">
      <c r="B15" s="5" t="s">
        <v>27</v>
      </c>
      <c r="C15" s="5" t="s">
        <v>28</v>
      </c>
      <c r="D15" s="10" t="s">
        <v>19</v>
      </c>
      <c r="E15" s="10" t="s">
        <v>24</v>
      </c>
      <c r="F15" s="11" t="s">
        <v>21</v>
      </c>
    </row>
    <row r="16" customFormat="false" ht="15" hidden="false" customHeight="false" outlineLevel="0" collapsed="false">
      <c r="B16" s="5" t="s">
        <v>29</v>
      </c>
      <c r="C16" s="5" t="s">
        <v>30</v>
      </c>
      <c r="D16" s="10" t="s">
        <v>19</v>
      </c>
      <c r="E16" s="10" t="s">
        <v>19</v>
      </c>
      <c r="F16" s="11" t="s">
        <v>31</v>
      </c>
    </row>
    <row r="17" customFormat="false" ht="15" hidden="false" customHeight="false" outlineLevel="0" collapsed="false">
      <c r="B17" s="5" t="s">
        <v>32</v>
      </c>
      <c r="C17" s="5" t="s">
        <v>33</v>
      </c>
      <c r="D17" s="10" t="s">
        <v>24</v>
      </c>
      <c r="E17" s="10" t="s">
        <v>19</v>
      </c>
      <c r="F17" s="11" t="s">
        <v>34</v>
      </c>
    </row>
    <row r="19" customFormat="false" ht="17.15" hidden="false" customHeight="false" outlineLevel="0" collapsed="false">
      <c r="B19" s="3" t="s">
        <v>35</v>
      </c>
    </row>
    <row r="20" customFormat="false" ht="31.5" hidden="false" customHeight="true" outlineLevel="0" collapsed="false">
      <c r="B20" s="12" t="s">
        <v>36</v>
      </c>
      <c r="C20" s="12"/>
      <c r="D20" s="12"/>
      <c r="E20" s="12"/>
      <c r="F20" s="12"/>
    </row>
    <row r="21" customFormat="false" ht="31.5" hidden="false" customHeight="true" outlineLevel="0" collapsed="false">
      <c r="B21" s="12" t="s">
        <v>37</v>
      </c>
      <c r="C21" s="12"/>
      <c r="D21" s="12"/>
      <c r="E21" s="12"/>
      <c r="F21" s="12"/>
    </row>
    <row r="22" customFormat="false" ht="31.5" hidden="false" customHeight="true" outlineLevel="0" collapsed="false">
      <c r="B22" s="12" t="s">
        <v>38</v>
      </c>
      <c r="C22" s="12"/>
      <c r="D22" s="12"/>
      <c r="E22" s="12"/>
      <c r="F22" s="12"/>
    </row>
    <row r="23" customFormat="false" ht="31.5" hidden="false" customHeight="true" outlineLevel="0" collapsed="false">
      <c r="B23" s="12" t="s">
        <v>39</v>
      </c>
      <c r="C23" s="12"/>
      <c r="D23" s="12"/>
      <c r="E23" s="12"/>
      <c r="F23" s="12"/>
    </row>
    <row r="24" customFormat="false" ht="31.5" hidden="false" customHeight="true" outlineLevel="0" collapsed="false">
      <c r="B24" s="12" t="s">
        <v>40</v>
      </c>
      <c r="C24" s="12"/>
      <c r="D24" s="12"/>
      <c r="E24" s="12"/>
      <c r="F24" s="12"/>
    </row>
    <row r="25" customFormat="false" ht="31.5" hidden="false" customHeight="true" outlineLevel="0" collapsed="false">
      <c r="B25" s="12" t="s">
        <v>41</v>
      </c>
      <c r="C25" s="12"/>
      <c r="D25" s="12"/>
      <c r="E25" s="12"/>
      <c r="F25" s="12"/>
    </row>
    <row r="27" customFormat="false" ht="17.15" hidden="false" customHeight="false" outlineLevel="0" collapsed="false">
      <c r="B27" s="3" t="s">
        <v>42</v>
      </c>
    </row>
    <row r="28" customFormat="false" ht="30" hidden="false" customHeight="true" outlineLevel="0" collapsed="false">
      <c r="B28" s="13" t="s">
        <v>43</v>
      </c>
      <c r="C28" s="13"/>
      <c r="D28" s="13"/>
      <c r="E28" s="13"/>
      <c r="F28" s="13"/>
    </row>
    <row r="29" customFormat="false" ht="30" hidden="false" customHeight="true" outlineLevel="0" collapsed="false">
      <c r="B29" s="14" t="s">
        <v>44</v>
      </c>
      <c r="C29" s="14"/>
      <c r="D29" s="14"/>
      <c r="E29" s="14"/>
      <c r="F29" s="14"/>
    </row>
    <row r="30" customFormat="false" ht="30" hidden="false" customHeight="true" outlineLevel="0" collapsed="false">
      <c r="B30" s="14" t="s">
        <v>45</v>
      </c>
      <c r="C30" s="14"/>
      <c r="D30" s="14"/>
      <c r="E30" s="14"/>
      <c r="F30" s="14"/>
    </row>
  </sheetData>
  <mergeCells count="11">
    <mergeCell ref="A1:F1"/>
    <mergeCell ref="A2:F2"/>
    <mergeCell ref="B20:F20"/>
    <mergeCell ref="B21:F21"/>
    <mergeCell ref="B22:F22"/>
    <mergeCell ref="B23:F23"/>
    <mergeCell ref="B24:F24"/>
    <mergeCell ref="B25:F25"/>
    <mergeCell ref="B28:F28"/>
    <mergeCell ref="B29:F29"/>
    <mergeCell ref="B30:F30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1" t="s">
        <v>46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47</v>
      </c>
      <c r="B2" s="2"/>
      <c r="C2" s="2"/>
      <c r="D2" s="2"/>
      <c r="E2" s="2"/>
      <c r="F2" s="2"/>
      <c r="G2" s="2"/>
      <c r="H2" s="2"/>
    </row>
    <row r="4" customFormat="false" ht="17.15" hidden="false" customHeight="true" outlineLevel="0" collapsed="false">
      <c r="A4" s="15" t="s">
        <v>48</v>
      </c>
      <c r="B4" s="15"/>
      <c r="C4" s="15"/>
      <c r="D4" s="15"/>
      <c r="F4" s="16" t="s">
        <v>49</v>
      </c>
      <c r="G4" s="16" t="s">
        <v>50</v>
      </c>
      <c r="H4" s="16" t="s">
        <v>51</v>
      </c>
    </row>
    <row r="5" customFormat="false" ht="30" hidden="false" customHeight="true" outlineLevel="0" collapsed="false">
      <c r="A5" s="16" t="s">
        <v>52</v>
      </c>
      <c r="B5" s="17" t="s">
        <v>53</v>
      </c>
      <c r="C5" s="16" t="s">
        <v>54</v>
      </c>
      <c r="D5" s="18" t="s">
        <v>55</v>
      </c>
      <c r="F5" s="19"/>
      <c r="G5" s="20" t="s">
        <v>56</v>
      </c>
      <c r="H5" s="20" t="s">
        <v>56</v>
      </c>
    </row>
    <row r="6" customFormat="false" ht="30" hidden="false" customHeight="true" outlineLevel="0" collapsed="false">
      <c r="A6" s="16" t="s">
        <v>57</v>
      </c>
      <c r="B6" s="18" t="s">
        <v>58</v>
      </c>
      <c r="C6" s="16" t="s">
        <v>59</v>
      </c>
      <c r="D6" s="17" t="s">
        <v>60</v>
      </c>
      <c r="F6" s="19"/>
      <c r="G6" s="21" t="s">
        <v>61</v>
      </c>
      <c r="H6" s="21"/>
    </row>
    <row r="7" customFormat="false" ht="30" hidden="false" customHeight="true" outlineLevel="0" collapsed="false">
      <c r="A7" s="16" t="s">
        <v>62</v>
      </c>
      <c r="B7" s="17" t="s">
        <v>63</v>
      </c>
      <c r="C7" s="16" t="s">
        <v>64</v>
      </c>
      <c r="D7" s="18" t="s">
        <v>65</v>
      </c>
      <c r="F7" s="16" t="s">
        <v>66</v>
      </c>
      <c r="G7" s="20" t="s">
        <v>56</v>
      </c>
      <c r="H7" s="22"/>
    </row>
    <row r="8" customFormat="false" ht="30" hidden="false" customHeight="true" outlineLevel="0" collapsed="false">
      <c r="A8" s="16" t="s">
        <v>50</v>
      </c>
      <c r="B8" s="18" t="s">
        <v>67</v>
      </c>
      <c r="C8" s="16" t="s">
        <v>68</v>
      </c>
      <c r="D8" s="18" t="s">
        <v>69</v>
      </c>
    </row>
    <row r="9" customFormat="false" ht="30" hidden="false" customHeight="true" outlineLevel="0" collapsed="false">
      <c r="A9" s="16" t="s">
        <v>70</v>
      </c>
      <c r="B9" s="18" t="s">
        <v>71</v>
      </c>
      <c r="C9" s="16" t="s">
        <v>72</v>
      </c>
      <c r="D9" s="17" t="s">
        <v>73</v>
      </c>
    </row>
    <row r="10" customFormat="false" ht="15" hidden="false" customHeight="false" outlineLevel="0" collapsed="false">
      <c r="A10" s="16" t="s">
        <v>74</v>
      </c>
      <c r="B10" s="23" t="n">
        <f aca="false">주차별계획!$H$26</f>
        <v>40</v>
      </c>
      <c r="C10" s="16" t="s">
        <v>75</v>
      </c>
      <c r="D10" s="5" t="str">
        <f aca="false">주차별계획!$F$26&amp;"시간 / "&amp;주차별계획!$G$26&amp;"시간"</f>
        <v>12.5시간 / 27.5시간</v>
      </c>
    </row>
    <row r="11" customFormat="false" ht="15" hidden="false" customHeight="false" outlineLevel="0" collapsed="false">
      <c r="A11" s="16" t="s">
        <v>76</v>
      </c>
      <c r="B11" s="24" t="n">
        <f aca="false">평가계획!$D$13</f>
        <v>2</v>
      </c>
      <c r="C11" s="16" t="s">
        <v>77</v>
      </c>
      <c r="D11" s="25" t="n">
        <f aca="false">IF(주차별계획!$H$26=0,0,주차별계획!$G$26/주차별계획!$H$26)</f>
        <v>0.6875</v>
      </c>
    </row>
    <row r="13" customFormat="false" ht="17.15" hidden="false" customHeight="true" outlineLevel="0" collapsed="false">
      <c r="A13" s="15" t="s">
        <v>78</v>
      </c>
      <c r="B13" s="15"/>
      <c r="C13" s="15"/>
      <c r="D13" s="15"/>
      <c r="E13" s="15"/>
      <c r="F13" s="15"/>
      <c r="G13" s="15"/>
      <c r="H13" s="15"/>
    </row>
    <row r="14" customFormat="false" ht="15" hidden="false" customHeight="true" outlineLevel="0" collapsed="false">
      <c r="A14" s="26" t="s">
        <v>79</v>
      </c>
      <c r="B14" s="17" t="s">
        <v>80</v>
      </c>
      <c r="C14" s="17"/>
      <c r="D14" s="17"/>
      <c r="E14" s="16" t="s">
        <v>81</v>
      </c>
      <c r="F14" s="18" t="s">
        <v>82</v>
      </c>
      <c r="G14" s="18"/>
      <c r="H14" s="18"/>
    </row>
    <row r="15" customFormat="false" ht="15" hidden="false" customHeight="true" outlineLevel="0" collapsed="false">
      <c r="A15" s="16" t="s">
        <v>83</v>
      </c>
      <c r="B15" s="18" t="s">
        <v>84</v>
      </c>
      <c r="C15" s="18"/>
      <c r="D15" s="18"/>
      <c r="E15" s="18"/>
      <c r="F15" s="18"/>
      <c r="G15" s="18"/>
      <c r="H15" s="18"/>
    </row>
    <row r="17" customFormat="false" ht="17.15" hidden="false" customHeight="true" outlineLevel="0" collapsed="false">
      <c r="A17" s="15" t="s">
        <v>85</v>
      </c>
      <c r="B17" s="15"/>
      <c r="C17" s="15"/>
      <c r="D17" s="15"/>
      <c r="E17" s="15"/>
      <c r="F17" s="15"/>
      <c r="G17" s="15"/>
      <c r="H17" s="15"/>
    </row>
    <row r="18" customFormat="false" ht="33.75" hidden="false" customHeight="true" outlineLevel="0" collapsed="false">
      <c r="A18" s="16" t="s">
        <v>86</v>
      </c>
      <c r="B18" s="27" t="s">
        <v>87</v>
      </c>
      <c r="C18" s="27"/>
      <c r="D18" s="27"/>
      <c r="E18" s="27"/>
      <c r="F18" s="27"/>
      <c r="G18" s="27"/>
      <c r="H18" s="27"/>
    </row>
    <row r="19" customFormat="false" ht="15" hidden="false" customHeight="true" outlineLevel="0" collapsed="false">
      <c r="A19" s="16" t="s">
        <v>88</v>
      </c>
      <c r="B19" s="17" t="s">
        <v>89</v>
      </c>
      <c r="C19" s="17"/>
      <c r="D19" s="17"/>
      <c r="E19" s="17"/>
      <c r="F19" s="17"/>
      <c r="G19" s="17"/>
      <c r="H19" s="17"/>
    </row>
    <row r="20" customFormat="false" ht="15" hidden="false" customHeight="true" outlineLevel="0" collapsed="false">
      <c r="A20" s="16"/>
      <c r="B20" s="17" t="s">
        <v>90</v>
      </c>
      <c r="C20" s="17"/>
      <c r="D20" s="17"/>
      <c r="E20" s="17"/>
      <c r="F20" s="17"/>
      <c r="G20" s="17"/>
      <c r="H20" s="17"/>
    </row>
    <row r="21" customFormat="false" ht="15" hidden="false" customHeight="true" outlineLevel="0" collapsed="false">
      <c r="A21" s="16"/>
      <c r="B21" s="17" t="s">
        <v>91</v>
      </c>
      <c r="C21" s="17"/>
      <c r="D21" s="17"/>
      <c r="E21" s="17"/>
      <c r="F21" s="17"/>
      <c r="G21" s="17"/>
      <c r="H21" s="17"/>
    </row>
    <row r="22" customFormat="false" ht="15" hidden="false" customHeight="true" outlineLevel="0" collapsed="false">
      <c r="A22" s="16"/>
      <c r="B22" s="17" t="s">
        <v>92</v>
      </c>
      <c r="C22" s="17"/>
      <c r="D22" s="17"/>
      <c r="E22" s="17"/>
      <c r="F22" s="17"/>
      <c r="G22" s="17"/>
      <c r="H22" s="17"/>
    </row>
    <row r="23" customFormat="false" ht="15" hidden="false" customHeight="true" outlineLevel="0" collapsed="false">
      <c r="A23" s="16" t="s">
        <v>93</v>
      </c>
      <c r="B23" s="18" t="s">
        <v>94</v>
      </c>
      <c r="C23" s="18"/>
      <c r="D23" s="18"/>
      <c r="E23" s="18"/>
      <c r="F23" s="18"/>
      <c r="G23" s="18"/>
      <c r="H23" s="18"/>
    </row>
    <row r="24" customFormat="false" ht="15" hidden="false" customHeight="true" outlineLevel="0" collapsed="false">
      <c r="A24" s="16" t="s">
        <v>95</v>
      </c>
      <c r="B24" s="18" t="s">
        <v>96</v>
      </c>
      <c r="C24" s="18"/>
      <c r="D24" s="18"/>
      <c r="E24" s="18"/>
      <c r="F24" s="18"/>
      <c r="G24" s="18"/>
      <c r="H24" s="18"/>
    </row>
    <row r="26" customFormat="false" ht="17.15" hidden="false" customHeight="true" outlineLevel="0" collapsed="false">
      <c r="A26" s="15" t="s">
        <v>97</v>
      </c>
      <c r="B26" s="15"/>
      <c r="C26" s="15"/>
      <c r="D26" s="15"/>
      <c r="E26" s="15"/>
      <c r="F26" s="15"/>
      <c r="G26" s="15"/>
      <c r="H26" s="15"/>
    </row>
    <row r="27" customFormat="false" ht="29.85" hidden="false" customHeight="true" outlineLevel="0" collapsed="false">
      <c r="A27" s="16" t="s">
        <v>98</v>
      </c>
      <c r="B27" s="18" t="s">
        <v>99</v>
      </c>
      <c r="C27" s="18"/>
      <c r="D27" s="18"/>
      <c r="E27" s="16" t="s">
        <v>100</v>
      </c>
      <c r="F27" s="18" t="s">
        <v>101</v>
      </c>
      <c r="G27" s="18"/>
      <c r="H27" s="18"/>
    </row>
    <row r="28" customFormat="false" ht="15" hidden="false" customHeight="true" outlineLevel="0" collapsed="false">
      <c r="A28" s="26" t="s">
        <v>102</v>
      </c>
      <c r="B28" s="17" t="s">
        <v>103</v>
      </c>
      <c r="C28" s="17"/>
      <c r="D28" s="17"/>
      <c r="E28" s="26" t="s">
        <v>104</v>
      </c>
      <c r="F28" s="18" t="s">
        <v>105</v>
      </c>
      <c r="G28" s="18"/>
      <c r="H28" s="18"/>
    </row>
    <row r="29" customFormat="false" ht="15" hidden="false" customHeight="true" outlineLevel="0" collapsed="false">
      <c r="A29" s="26" t="s">
        <v>106</v>
      </c>
      <c r="B29" s="18" t="s">
        <v>107</v>
      </c>
      <c r="C29" s="18"/>
      <c r="D29" s="18"/>
      <c r="E29" s="18"/>
      <c r="F29" s="18"/>
      <c r="G29" s="18"/>
      <c r="H29" s="18"/>
    </row>
    <row r="31" customFormat="false" ht="17.15" hidden="false" customHeight="true" outlineLevel="0" collapsed="false">
      <c r="A31" s="15" t="s">
        <v>108</v>
      </c>
      <c r="B31" s="15"/>
      <c r="C31" s="15"/>
      <c r="D31" s="15"/>
      <c r="E31" s="15"/>
      <c r="F31" s="15"/>
      <c r="G31" s="15"/>
      <c r="H31" s="15"/>
    </row>
    <row r="32" customFormat="false" ht="15" hidden="false" customHeight="false" outlineLevel="0" collapsed="false">
      <c r="A32" s="16" t="s">
        <v>109</v>
      </c>
      <c r="B32" s="5" t="str">
        <f aca="false">평가계획!$B$7&amp;" "&amp;TEXT(평가계획!$C$7,"0%")&amp;" / "&amp;평가계획!$B$8&amp;" "&amp;TEXT(평가계획!$C$8,"0%")&amp;" / "&amp;평가계획!$B$9&amp;" "&amp;TEXT(평가계획!$C$9,"0%")&amp;" / "&amp;평가계획!$B$10&amp;" "&amp;TEXT(평가계획!$C$10,"0%")</f>
        <v>형성평가(퀴즈) 10% / 실습과제 30% / 지필평가 20% / 실무평가(프로젝트) 40%</v>
      </c>
      <c r="C32" s="5"/>
      <c r="D32" s="5"/>
      <c r="E32" s="5"/>
      <c r="F32" s="5"/>
      <c r="G32" s="5"/>
      <c r="H32" s="5"/>
    </row>
    <row r="33" customFormat="false" ht="15" hidden="false" customHeight="true" outlineLevel="0" collapsed="false">
      <c r="A33" s="16" t="s">
        <v>110</v>
      </c>
      <c r="B33" s="27" t="s">
        <v>111</v>
      </c>
      <c r="C33" s="27"/>
      <c r="D33" s="27"/>
      <c r="E33" s="27"/>
      <c r="F33" s="27"/>
      <c r="G33" s="27"/>
      <c r="H33" s="27"/>
    </row>
    <row r="35" customFormat="false" ht="30" hidden="false" customHeight="true" outlineLevel="0" collapsed="false">
      <c r="A35" s="16" t="s">
        <v>112</v>
      </c>
      <c r="B35" s="18" t="s">
        <v>113</v>
      </c>
      <c r="C35" s="18"/>
      <c r="D35" s="18"/>
      <c r="E35" s="18"/>
      <c r="F35" s="18"/>
      <c r="G35" s="18"/>
      <c r="H35" s="18"/>
    </row>
  </sheetData>
  <mergeCells count="28">
    <mergeCell ref="A1:H1"/>
    <mergeCell ref="A2:H2"/>
    <mergeCell ref="A4:D4"/>
    <mergeCell ref="F5:F6"/>
    <mergeCell ref="G6:H6"/>
    <mergeCell ref="A13:H13"/>
    <mergeCell ref="B14:D14"/>
    <mergeCell ref="F14:H14"/>
    <mergeCell ref="B15:H15"/>
    <mergeCell ref="A17:H17"/>
    <mergeCell ref="B18:H18"/>
    <mergeCell ref="A19:A22"/>
    <mergeCell ref="B19:H19"/>
    <mergeCell ref="B20:H20"/>
    <mergeCell ref="B21:H21"/>
    <mergeCell ref="B22:H22"/>
    <mergeCell ref="B23:H23"/>
    <mergeCell ref="B24:H24"/>
    <mergeCell ref="A26:H26"/>
    <mergeCell ref="B27:D27"/>
    <mergeCell ref="F27:H27"/>
    <mergeCell ref="B28:D28"/>
    <mergeCell ref="F28:H28"/>
    <mergeCell ref="B29:H29"/>
    <mergeCell ref="A31:H31"/>
    <mergeCell ref="B32:H32"/>
    <mergeCell ref="B33:H33"/>
    <mergeCell ref="B35:H35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6" min="5" style="0" width="10"/>
    <col collapsed="false" customWidth="true" hidden="false" outlineLevel="0" max="8" min="7" style="0" width="14"/>
  </cols>
  <sheetData>
    <row r="1" customFormat="false" ht="30" hidden="false" customHeight="true" outlineLevel="0" collapsed="false">
      <c r="A1" s="28" t="s">
        <v>114</v>
      </c>
      <c r="B1" s="28"/>
      <c r="C1" s="28"/>
      <c r="D1" s="28"/>
      <c r="E1" s="28"/>
      <c r="F1" s="28"/>
      <c r="G1" s="28"/>
      <c r="H1" s="28"/>
    </row>
    <row r="2" customFormat="false" ht="27.75" hidden="false" customHeight="true" outlineLevel="0" collapsed="false">
      <c r="A2" s="2" t="s">
        <v>115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9" t="s">
        <v>116</v>
      </c>
      <c r="B4" s="9" t="s">
        <v>117</v>
      </c>
      <c r="C4" s="9" t="s">
        <v>118</v>
      </c>
      <c r="D4" s="9" t="s">
        <v>119</v>
      </c>
      <c r="E4" s="9" t="s">
        <v>120</v>
      </c>
      <c r="F4" s="9" t="s">
        <v>121</v>
      </c>
      <c r="G4" s="9" t="s">
        <v>109</v>
      </c>
      <c r="H4" s="9" t="s">
        <v>122</v>
      </c>
    </row>
    <row r="5" customFormat="false" ht="30" hidden="false" customHeight="true" outlineLevel="0" collapsed="false">
      <c r="A5" s="29" t="s">
        <v>123</v>
      </c>
      <c r="B5" s="20" t="s">
        <v>124</v>
      </c>
      <c r="C5" s="18" t="s">
        <v>125</v>
      </c>
      <c r="D5" s="20" t="s">
        <v>126</v>
      </c>
      <c r="E5" s="30" t="n">
        <f aca="false">SUMIF(주차별계획!$J$5:$J$24,"2001020215_20v4.1",주차별계획!$H$5:$H$24)</f>
        <v>14</v>
      </c>
      <c r="F5" s="31" t="n">
        <f aca="false">IF($E$22=0,0,E5/$E$22)</f>
        <v>0.35</v>
      </c>
      <c r="G5" s="4" t="s">
        <v>127</v>
      </c>
      <c r="H5" s="20" t="s">
        <v>128</v>
      </c>
    </row>
    <row r="6" customFormat="false" ht="30" hidden="false" customHeight="true" outlineLevel="0" collapsed="false">
      <c r="A6" s="29"/>
      <c r="B6" s="20" t="s">
        <v>129</v>
      </c>
      <c r="C6" s="18" t="s">
        <v>130</v>
      </c>
      <c r="D6" s="20"/>
      <c r="E6" s="20"/>
      <c r="F6" s="20"/>
      <c r="G6" s="20"/>
      <c r="H6" s="20"/>
    </row>
    <row r="7" customFormat="false" ht="30" hidden="false" customHeight="true" outlineLevel="0" collapsed="false">
      <c r="A7" s="29"/>
      <c r="B7" s="20" t="s">
        <v>131</v>
      </c>
      <c r="C7" s="18" t="s">
        <v>132</v>
      </c>
      <c r="D7" s="20"/>
      <c r="E7" s="20"/>
      <c r="F7" s="20"/>
      <c r="G7" s="20"/>
      <c r="H7" s="20"/>
    </row>
    <row r="8" customFormat="false" ht="30" hidden="false" customHeight="true" outlineLevel="0" collapsed="false">
      <c r="A8" s="29" t="s">
        <v>133</v>
      </c>
      <c r="B8" s="20" t="s">
        <v>134</v>
      </c>
      <c r="C8" s="18" t="s">
        <v>135</v>
      </c>
      <c r="D8" s="20" t="s">
        <v>136</v>
      </c>
      <c r="E8" s="30" t="n">
        <f aca="false">SUMIF(주차별계획!$J$5:$J$24,"2001020215_20v4.2",주차별계획!$H$5:$H$24)</f>
        <v>10</v>
      </c>
      <c r="F8" s="31" t="n">
        <f aca="false">IF($E$22=0,0,E8/$E$22)</f>
        <v>0.25</v>
      </c>
      <c r="G8" s="4" t="s">
        <v>137</v>
      </c>
      <c r="H8" s="20" t="s">
        <v>138</v>
      </c>
    </row>
    <row r="9" customFormat="false" ht="30" hidden="false" customHeight="true" outlineLevel="0" collapsed="false">
      <c r="A9" s="29"/>
      <c r="B9" s="20" t="s">
        <v>139</v>
      </c>
      <c r="C9" s="18" t="s">
        <v>140</v>
      </c>
      <c r="D9" s="20"/>
      <c r="E9" s="20"/>
      <c r="F9" s="20"/>
      <c r="G9" s="20"/>
      <c r="H9" s="20"/>
    </row>
    <row r="10" customFormat="false" ht="30" hidden="false" customHeight="true" outlineLevel="0" collapsed="false">
      <c r="A10" s="29"/>
      <c r="B10" s="20" t="s">
        <v>141</v>
      </c>
      <c r="C10" s="18" t="s">
        <v>142</v>
      </c>
      <c r="D10" s="20"/>
      <c r="E10" s="20"/>
      <c r="F10" s="20"/>
      <c r="G10" s="20"/>
      <c r="H10" s="20"/>
    </row>
    <row r="11" customFormat="false" ht="30" hidden="false" customHeight="true" outlineLevel="0" collapsed="false">
      <c r="A11" s="29" t="s">
        <v>143</v>
      </c>
      <c r="B11" s="20" t="s">
        <v>144</v>
      </c>
      <c r="C11" s="18" t="s">
        <v>145</v>
      </c>
      <c r="D11" s="20" t="s">
        <v>146</v>
      </c>
      <c r="E11" s="30" t="n">
        <f aca="false">SUMIF(주차별계획!$J$5:$J$24,"2001020215_20v4.3",주차별계획!$H$5:$H$24)</f>
        <v>10</v>
      </c>
      <c r="F11" s="31" t="n">
        <f aca="false">IF($E$22=0,0,E11/$E$22)</f>
        <v>0.25</v>
      </c>
      <c r="G11" s="4" t="s">
        <v>147</v>
      </c>
      <c r="H11" s="20" t="s">
        <v>148</v>
      </c>
    </row>
    <row r="12" customFormat="false" ht="30" hidden="false" customHeight="true" outlineLevel="0" collapsed="false">
      <c r="A12" s="29"/>
      <c r="B12" s="20" t="s">
        <v>149</v>
      </c>
      <c r="C12" s="18" t="s">
        <v>150</v>
      </c>
      <c r="D12" s="20"/>
      <c r="E12" s="20"/>
      <c r="F12" s="20"/>
      <c r="G12" s="20"/>
      <c r="H12" s="20"/>
    </row>
    <row r="13" customFormat="false" ht="30" hidden="false" customHeight="true" outlineLevel="0" collapsed="false">
      <c r="A13" s="29" t="s">
        <v>151</v>
      </c>
      <c r="B13" s="20" t="s">
        <v>152</v>
      </c>
      <c r="C13" s="18" t="s">
        <v>153</v>
      </c>
      <c r="D13" s="20" t="s">
        <v>154</v>
      </c>
      <c r="E13" s="30" t="n">
        <f aca="false">SUMIF(주차별계획!$J$5:$J$24,"프로젝트(①②③)",주차별계획!$H$5:$H$24)</f>
        <v>6</v>
      </c>
      <c r="F13" s="31" t="n">
        <f aca="false">IF($E$22=0,0,E13/$E$22)</f>
        <v>0.15</v>
      </c>
      <c r="G13" s="4" t="s">
        <v>155</v>
      </c>
      <c r="H13" s="20" t="s">
        <v>148</v>
      </c>
    </row>
    <row r="22" customFormat="false" ht="15" hidden="false" customHeight="true" outlineLevel="0" collapsed="false">
      <c r="A22" s="16" t="s">
        <v>156</v>
      </c>
      <c r="B22" s="16"/>
      <c r="C22" s="16"/>
      <c r="D22" s="16"/>
      <c r="E22" s="32" t="n">
        <f aca="false">E5+E8+E11+E13</f>
        <v>40</v>
      </c>
      <c r="F22" s="33" t="n">
        <f aca="false">F5+F8+F11+F13</f>
        <v>1</v>
      </c>
      <c r="G22" s="34" t="str">
        <f aca="false">IF(E22=주차별계획!H25,"✔ 주차별계획 총시간과 일치","⚠ 미매핑 차시 존재")</f>
        <v>✔ 주차별계획 총시간과 일치</v>
      </c>
      <c r="H22" s="34"/>
    </row>
    <row r="24" customFormat="false" ht="30" hidden="false" customHeight="true" outlineLevel="0" collapsed="false">
      <c r="A24" s="13" t="s">
        <v>157</v>
      </c>
      <c r="B24" s="13"/>
      <c r="C24" s="13"/>
      <c r="D24" s="13"/>
      <c r="E24" s="13"/>
      <c r="F24" s="13"/>
      <c r="G24" s="13"/>
      <c r="H24" s="13"/>
    </row>
  </sheetData>
  <mergeCells count="23">
    <mergeCell ref="A1:H1"/>
    <mergeCell ref="A2:H2"/>
    <mergeCell ref="A5:A7"/>
    <mergeCell ref="D5:D7"/>
    <mergeCell ref="E5:E7"/>
    <mergeCell ref="F5:F7"/>
    <mergeCell ref="G5:G7"/>
    <mergeCell ref="H5:H7"/>
    <mergeCell ref="A8:A10"/>
    <mergeCell ref="D8:D10"/>
    <mergeCell ref="E8:E10"/>
    <mergeCell ref="F8:F10"/>
    <mergeCell ref="G8:G10"/>
    <mergeCell ref="H8:H10"/>
    <mergeCell ref="A11:A12"/>
    <mergeCell ref="D11:D12"/>
    <mergeCell ref="E11:E12"/>
    <mergeCell ref="F11:F12"/>
    <mergeCell ref="G11:G12"/>
    <mergeCell ref="H11:H12"/>
    <mergeCell ref="A22:D22"/>
    <mergeCell ref="G22:H22"/>
    <mergeCell ref="A24:H24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0" width="22"/>
    <col collapsed="false" customWidth="true" hidden="false" outlineLevel="0" max="4" min="4" style="0" width="60"/>
    <col collapsed="false" customWidth="true" hidden="false" outlineLevel="0" max="8" min="5" style="0" width="9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7.75" hidden="false" customHeight="true" outlineLevel="0" collapsed="false">
      <c r="A2" s="2" t="s">
        <v>159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4" hidden="false" customHeight="true" outlineLevel="0" collapsed="false">
      <c r="A4" s="9" t="s">
        <v>160</v>
      </c>
      <c r="B4" s="9" t="s">
        <v>161</v>
      </c>
      <c r="C4" s="9" t="s">
        <v>162</v>
      </c>
      <c r="D4" s="9" t="s">
        <v>163</v>
      </c>
      <c r="E4" s="9" t="s">
        <v>164</v>
      </c>
      <c r="F4" s="9" t="s">
        <v>165</v>
      </c>
      <c r="G4" s="9" t="s">
        <v>166</v>
      </c>
      <c r="H4" s="9" t="s">
        <v>167</v>
      </c>
      <c r="I4" s="9" t="s">
        <v>168</v>
      </c>
      <c r="J4" s="35" t="s">
        <v>169</v>
      </c>
    </row>
    <row r="5" customFormat="false" ht="30" hidden="false" customHeight="true" outlineLevel="0" collapsed="false">
      <c r="A5" s="4" t="n">
        <v>1</v>
      </c>
      <c r="B5" s="4" t="n">
        <v>1</v>
      </c>
      <c r="C5" s="18" t="s">
        <v>170</v>
      </c>
      <c r="D5" s="18" t="s">
        <v>171</v>
      </c>
      <c r="E5" s="36" t="n">
        <v>1</v>
      </c>
      <c r="F5" s="36" t="n">
        <v>1</v>
      </c>
      <c r="G5" s="36" t="n">
        <v>0</v>
      </c>
      <c r="H5" s="30" t="n">
        <f aca="false">SUM(E5:G5)</f>
        <v>2</v>
      </c>
      <c r="I5" s="4"/>
      <c r="J5" s="20" t="s">
        <v>172</v>
      </c>
    </row>
    <row r="6" customFormat="false" ht="30" hidden="false" customHeight="true" outlineLevel="0" collapsed="false">
      <c r="A6" s="4" t="n">
        <v>1</v>
      </c>
      <c r="B6" s="4" t="n">
        <v>2</v>
      </c>
      <c r="C6" s="18" t="s">
        <v>173</v>
      </c>
      <c r="D6" s="18" t="s">
        <v>174</v>
      </c>
      <c r="E6" s="36" t="n">
        <v>1</v>
      </c>
      <c r="F6" s="36" t="n">
        <v>1</v>
      </c>
      <c r="G6" s="36" t="n">
        <v>0</v>
      </c>
      <c r="H6" s="30" t="n">
        <f aca="false">SUM(E6:G6)</f>
        <v>2</v>
      </c>
      <c r="I6" s="4"/>
      <c r="J6" s="20" t="s">
        <v>172</v>
      </c>
    </row>
    <row r="7" customFormat="false" ht="30" hidden="false" customHeight="true" outlineLevel="0" collapsed="false">
      <c r="A7" s="4" t="n">
        <v>2</v>
      </c>
      <c r="B7" s="4" t="n">
        <v>3</v>
      </c>
      <c r="C7" s="18" t="s">
        <v>175</v>
      </c>
      <c r="D7" s="18" t="s">
        <v>176</v>
      </c>
      <c r="E7" s="36" t="n">
        <v>0.5</v>
      </c>
      <c r="F7" s="36" t="n">
        <v>1.5</v>
      </c>
      <c r="G7" s="36" t="n">
        <v>0</v>
      </c>
      <c r="H7" s="30" t="n">
        <f aca="false">SUM(E7:G7)</f>
        <v>2</v>
      </c>
      <c r="I7" s="4"/>
      <c r="J7" s="20" t="s">
        <v>172</v>
      </c>
    </row>
    <row r="8" customFormat="false" ht="30" hidden="false" customHeight="true" outlineLevel="0" collapsed="false">
      <c r="A8" s="4" t="n">
        <v>2</v>
      </c>
      <c r="B8" s="4" t="n">
        <v>4</v>
      </c>
      <c r="C8" s="18" t="s">
        <v>177</v>
      </c>
      <c r="D8" s="17" t="s">
        <v>178</v>
      </c>
      <c r="E8" s="36" t="n">
        <v>0.5</v>
      </c>
      <c r="F8" s="36" t="n">
        <v>1.5</v>
      </c>
      <c r="G8" s="36" t="n">
        <v>0</v>
      </c>
      <c r="H8" s="30" t="n">
        <f aca="false">SUM(E8:G8)</f>
        <v>2</v>
      </c>
      <c r="I8" s="4"/>
      <c r="J8" s="20" t="s">
        <v>172</v>
      </c>
    </row>
    <row r="9" customFormat="false" ht="30" hidden="false" customHeight="true" outlineLevel="0" collapsed="false">
      <c r="A9" s="4" t="n">
        <v>3</v>
      </c>
      <c r="B9" s="4" t="n">
        <v>5</v>
      </c>
      <c r="C9" s="18" t="s">
        <v>179</v>
      </c>
      <c r="D9" s="17" t="s">
        <v>180</v>
      </c>
      <c r="E9" s="36" t="n">
        <v>0.5</v>
      </c>
      <c r="F9" s="36" t="n">
        <v>1.5</v>
      </c>
      <c r="G9" s="36" t="n">
        <v>0</v>
      </c>
      <c r="H9" s="30" t="n">
        <f aca="false">SUM(E9:G9)</f>
        <v>2</v>
      </c>
      <c r="I9" s="4"/>
      <c r="J9" s="20" t="s">
        <v>172</v>
      </c>
    </row>
    <row r="10" customFormat="false" ht="30" hidden="false" customHeight="true" outlineLevel="0" collapsed="false">
      <c r="A10" s="4" t="n">
        <v>3</v>
      </c>
      <c r="B10" s="4" t="n">
        <v>6</v>
      </c>
      <c r="C10" s="18" t="s">
        <v>181</v>
      </c>
      <c r="D10" s="18" t="s">
        <v>182</v>
      </c>
      <c r="E10" s="36" t="n">
        <v>0.5</v>
      </c>
      <c r="F10" s="36" t="n">
        <v>1.5</v>
      </c>
      <c r="G10" s="36" t="n">
        <v>0</v>
      </c>
      <c r="H10" s="30" t="n">
        <f aca="false">SUM(E10:G10)</f>
        <v>2</v>
      </c>
      <c r="I10" s="4"/>
      <c r="J10" s="20" t="s">
        <v>172</v>
      </c>
    </row>
    <row r="11" customFormat="false" ht="30" hidden="false" customHeight="true" outlineLevel="0" collapsed="false">
      <c r="A11" s="4" t="n">
        <v>4</v>
      </c>
      <c r="B11" s="4" t="n">
        <v>7</v>
      </c>
      <c r="C11" s="18" t="s">
        <v>183</v>
      </c>
      <c r="D11" s="17" t="s">
        <v>184</v>
      </c>
      <c r="E11" s="36" t="n">
        <v>0.5</v>
      </c>
      <c r="F11" s="36" t="n">
        <v>1.5</v>
      </c>
      <c r="G11" s="36" t="n">
        <v>0</v>
      </c>
      <c r="H11" s="30" t="n">
        <f aca="false">SUM(E11:G11)</f>
        <v>2</v>
      </c>
      <c r="I11" s="4" t="s">
        <v>185</v>
      </c>
      <c r="J11" s="20" t="s">
        <v>172</v>
      </c>
    </row>
    <row r="12" customFormat="false" ht="30" hidden="false" customHeight="true" outlineLevel="0" collapsed="false">
      <c r="A12" s="4" t="n">
        <v>4</v>
      </c>
      <c r="B12" s="4" t="n">
        <v>8</v>
      </c>
      <c r="C12" s="18" t="s">
        <v>186</v>
      </c>
      <c r="D12" s="18" t="s">
        <v>187</v>
      </c>
      <c r="E12" s="36" t="n">
        <v>1</v>
      </c>
      <c r="F12" s="36" t="n">
        <v>1</v>
      </c>
      <c r="G12" s="36" t="n">
        <v>0</v>
      </c>
      <c r="H12" s="30" t="n">
        <f aca="false">SUM(E12:G12)</f>
        <v>2</v>
      </c>
      <c r="I12" s="4"/>
      <c r="J12" s="20" t="s">
        <v>188</v>
      </c>
    </row>
    <row r="13" customFormat="false" ht="30" hidden="false" customHeight="true" outlineLevel="0" collapsed="false">
      <c r="A13" s="4" t="n">
        <v>5</v>
      </c>
      <c r="B13" s="4" t="n">
        <v>9</v>
      </c>
      <c r="C13" s="18" t="s">
        <v>189</v>
      </c>
      <c r="D13" s="18" t="s">
        <v>190</v>
      </c>
      <c r="E13" s="36" t="n">
        <v>1</v>
      </c>
      <c r="F13" s="36" t="n">
        <v>1</v>
      </c>
      <c r="G13" s="36" t="n">
        <v>0</v>
      </c>
      <c r="H13" s="30" t="n">
        <f aca="false">SUM(E13:G13)</f>
        <v>2</v>
      </c>
      <c r="I13" s="4"/>
      <c r="J13" s="20" t="s">
        <v>188</v>
      </c>
    </row>
    <row r="14" customFormat="false" ht="30" hidden="false" customHeight="true" outlineLevel="0" collapsed="false">
      <c r="A14" s="4" t="n">
        <v>5</v>
      </c>
      <c r="B14" s="4" t="n">
        <v>10</v>
      </c>
      <c r="C14" s="18" t="s">
        <v>191</v>
      </c>
      <c r="D14" s="17" t="s">
        <v>192</v>
      </c>
      <c r="E14" s="36" t="n">
        <v>0.5</v>
      </c>
      <c r="F14" s="36" t="n">
        <v>1.5</v>
      </c>
      <c r="G14" s="36" t="n">
        <v>0</v>
      </c>
      <c r="H14" s="30" t="n">
        <f aca="false">SUM(E14:G14)</f>
        <v>2</v>
      </c>
      <c r="I14" s="4"/>
      <c r="J14" s="20" t="s">
        <v>193</v>
      </c>
    </row>
    <row r="15" customFormat="false" ht="30" hidden="false" customHeight="true" outlineLevel="0" collapsed="false">
      <c r="A15" s="4" t="n">
        <v>6</v>
      </c>
      <c r="B15" s="4" t="n">
        <v>11</v>
      </c>
      <c r="C15" s="18" t="s">
        <v>194</v>
      </c>
      <c r="D15" s="17" t="s">
        <v>195</v>
      </c>
      <c r="E15" s="36" t="n">
        <v>1</v>
      </c>
      <c r="F15" s="36" t="n">
        <v>1</v>
      </c>
      <c r="G15" s="36" t="n">
        <v>0</v>
      </c>
      <c r="H15" s="30" t="n">
        <f aca="false">SUM(E15:G15)</f>
        <v>2</v>
      </c>
      <c r="I15" s="4"/>
      <c r="J15" s="20" t="s">
        <v>188</v>
      </c>
    </row>
    <row r="16" customFormat="false" ht="30" hidden="false" customHeight="true" outlineLevel="0" collapsed="false">
      <c r="A16" s="4" t="n">
        <v>6</v>
      </c>
      <c r="B16" s="4" t="n">
        <v>12</v>
      </c>
      <c r="C16" s="18" t="s">
        <v>196</v>
      </c>
      <c r="D16" s="18" t="s">
        <v>197</v>
      </c>
      <c r="E16" s="36" t="n">
        <v>0.5</v>
      </c>
      <c r="F16" s="36" t="n">
        <v>1.5</v>
      </c>
      <c r="G16" s="36" t="n">
        <v>0</v>
      </c>
      <c r="H16" s="30" t="n">
        <f aca="false">SUM(E16:G16)</f>
        <v>2</v>
      </c>
      <c r="I16" s="4"/>
      <c r="J16" s="20" t="s">
        <v>193</v>
      </c>
    </row>
    <row r="17" customFormat="false" ht="30" hidden="false" customHeight="true" outlineLevel="0" collapsed="false">
      <c r="A17" s="4" t="n">
        <v>7</v>
      </c>
      <c r="B17" s="4" t="n">
        <v>13</v>
      </c>
      <c r="C17" s="18" t="s">
        <v>198</v>
      </c>
      <c r="D17" s="18" t="s">
        <v>199</v>
      </c>
      <c r="E17" s="36" t="n">
        <v>1</v>
      </c>
      <c r="F17" s="36" t="n">
        <v>1</v>
      </c>
      <c r="G17" s="36" t="n">
        <v>0</v>
      </c>
      <c r="H17" s="30" t="n">
        <f aca="false">SUM(E17:G17)</f>
        <v>2</v>
      </c>
      <c r="I17" s="4"/>
      <c r="J17" s="20" t="s">
        <v>188</v>
      </c>
    </row>
    <row r="18" customFormat="false" ht="30" hidden="false" customHeight="true" outlineLevel="0" collapsed="false">
      <c r="A18" s="4" t="n">
        <v>7</v>
      </c>
      <c r="B18" s="4" t="n">
        <v>14</v>
      </c>
      <c r="C18" s="18" t="s">
        <v>200</v>
      </c>
      <c r="D18" s="18" t="s">
        <v>201</v>
      </c>
      <c r="E18" s="36" t="n">
        <v>1</v>
      </c>
      <c r="F18" s="36" t="n">
        <v>1</v>
      </c>
      <c r="G18" s="36" t="n">
        <v>0</v>
      </c>
      <c r="H18" s="30" t="n">
        <f aca="false">SUM(E18:G18)</f>
        <v>2</v>
      </c>
      <c r="I18" s="4" t="s">
        <v>202</v>
      </c>
      <c r="J18" s="20" t="s">
        <v>188</v>
      </c>
    </row>
    <row r="19" customFormat="false" ht="30" hidden="false" customHeight="true" outlineLevel="0" collapsed="false">
      <c r="A19" s="4" t="n">
        <v>8</v>
      </c>
      <c r="B19" s="4" t="n">
        <v>15</v>
      </c>
      <c r="C19" s="18" t="s">
        <v>203</v>
      </c>
      <c r="D19" s="17" t="s">
        <v>204</v>
      </c>
      <c r="E19" s="36" t="n">
        <v>0.5</v>
      </c>
      <c r="F19" s="36" t="n">
        <v>1.5</v>
      </c>
      <c r="G19" s="36" t="n">
        <v>0</v>
      </c>
      <c r="H19" s="30" t="n">
        <f aca="false">SUM(E19:G19)</f>
        <v>2</v>
      </c>
      <c r="I19" s="4"/>
      <c r="J19" s="20" t="s">
        <v>193</v>
      </c>
    </row>
    <row r="20" customFormat="false" ht="30" hidden="false" customHeight="true" outlineLevel="0" collapsed="false">
      <c r="A20" s="4" t="n">
        <v>8</v>
      </c>
      <c r="B20" s="4" t="n">
        <v>16</v>
      </c>
      <c r="C20" s="18" t="s">
        <v>205</v>
      </c>
      <c r="D20" s="17" t="s">
        <v>206</v>
      </c>
      <c r="E20" s="36" t="n">
        <v>0.5</v>
      </c>
      <c r="F20" s="36" t="n">
        <v>1.5</v>
      </c>
      <c r="G20" s="36" t="n">
        <v>0</v>
      </c>
      <c r="H20" s="30" t="n">
        <f aca="false">SUM(E20:G20)</f>
        <v>2</v>
      </c>
      <c r="I20" s="4"/>
      <c r="J20" s="20" t="s">
        <v>193</v>
      </c>
    </row>
    <row r="21" customFormat="false" ht="30" hidden="false" customHeight="true" outlineLevel="0" collapsed="false">
      <c r="A21" s="4" t="n">
        <v>9</v>
      </c>
      <c r="B21" s="4" t="n">
        <v>17</v>
      </c>
      <c r="C21" s="18" t="s">
        <v>207</v>
      </c>
      <c r="D21" s="17" t="s">
        <v>208</v>
      </c>
      <c r="E21" s="36" t="n">
        <v>0.5</v>
      </c>
      <c r="F21" s="36" t="n">
        <v>1.5</v>
      </c>
      <c r="G21" s="36" t="n">
        <v>0</v>
      </c>
      <c r="H21" s="30" t="n">
        <f aca="false">SUM(E21:G21)</f>
        <v>2</v>
      </c>
      <c r="I21" s="4"/>
      <c r="J21" s="20" t="s">
        <v>193</v>
      </c>
    </row>
    <row r="22" customFormat="false" ht="30" hidden="false" customHeight="true" outlineLevel="0" collapsed="false">
      <c r="A22" s="4" t="n">
        <v>9</v>
      </c>
      <c r="B22" s="4" t="n">
        <v>18</v>
      </c>
      <c r="C22" s="18" t="s">
        <v>209</v>
      </c>
      <c r="D22" s="18" t="s">
        <v>210</v>
      </c>
      <c r="E22" s="36" t="n">
        <v>0.5</v>
      </c>
      <c r="F22" s="36" t="n">
        <v>1.5</v>
      </c>
      <c r="G22" s="36" t="n">
        <v>0</v>
      </c>
      <c r="H22" s="30" t="n">
        <f aca="false">SUM(E22:G22)</f>
        <v>2</v>
      </c>
      <c r="I22" s="4"/>
      <c r="J22" s="4" t="s">
        <v>211</v>
      </c>
    </row>
    <row r="23" customFormat="false" ht="30" hidden="false" customHeight="true" outlineLevel="0" collapsed="false">
      <c r="A23" s="4" t="n">
        <v>10</v>
      </c>
      <c r="B23" s="4" t="n">
        <v>19</v>
      </c>
      <c r="C23" s="18" t="s">
        <v>212</v>
      </c>
      <c r="D23" s="18" t="s">
        <v>213</v>
      </c>
      <c r="E23" s="36" t="n">
        <v>0</v>
      </c>
      <c r="F23" s="36" t="n">
        <v>2</v>
      </c>
      <c r="G23" s="36" t="n">
        <v>0</v>
      </c>
      <c r="H23" s="30" t="n">
        <f aca="false">SUM(E23:G23)</f>
        <v>2</v>
      </c>
      <c r="I23" s="4"/>
      <c r="J23" s="4" t="s">
        <v>211</v>
      </c>
    </row>
    <row r="24" customFormat="false" ht="30" hidden="false" customHeight="true" outlineLevel="0" collapsed="false">
      <c r="A24" s="4" t="n">
        <v>10</v>
      </c>
      <c r="B24" s="4" t="n">
        <v>20</v>
      </c>
      <c r="C24" s="18" t="s">
        <v>214</v>
      </c>
      <c r="D24" s="18" t="s">
        <v>215</v>
      </c>
      <c r="E24" s="36" t="n">
        <v>0</v>
      </c>
      <c r="F24" s="36" t="n">
        <v>0</v>
      </c>
      <c r="G24" s="36" t="n">
        <v>2</v>
      </c>
      <c r="H24" s="30" t="n">
        <f aca="false">SUM(E24:G24)</f>
        <v>2</v>
      </c>
      <c r="I24" s="4" t="s">
        <v>216</v>
      </c>
      <c r="J24" s="4" t="s">
        <v>211</v>
      </c>
    </row>
    <row r="25" customFormat="false" ht="15" hidden="false" customHeight="true" outlineLevel="0" collapsed="false">
      <c r="A25" s="16" t="s">
        <v>217</v>
      </c>
      <c r="B25" s="16"/>
      <c r="C25" s="16"/>
      <c r="D25" s="16"/>
      <c r="E25" s="32" t="n">
        <f aca="false">SUM(E5:E24)</f>
        <v>12.5</v>
      </c>
      <c r="F25" s="32" t="n">
        <f aca="false">SUM(F5:F24)</f>
        <v>25.5</v>
      </c>
      <c r="G25" s="32" t="n">
        <f aca="false">SUM(G5:G24)</f>
        <v>2</v>
      </c>
      <c r="H25" s="32" t="n">
        <f aca="false">SUM(H5:H24)</f>
        <v>40</v>
      </c>
      <c r="I25" s="34" t="str">
        <f aca="false">IF(H25=40,"✔ 계획시간 일치","⚠ 계획 40h와 불일치")</f>
        <v>✔ 계획시간 일치</v>
      </c>
      <c r="J25" s="34"/>
    </row>
    <row r="26" customFormat="false" ht="15" hidden="false" customHeight="true" outlineLevel="0" collapsed="false">
      <c r="A26" s="16" t="s">
        <v>218</v>
      </c>
      <c r="B26" s="16"/>
      <c r="C26" s="16"/>
      <c r="D26" s="16"/>
      <c r="E26" s="37"/>
      <c r="F26" s="32" t="n">
        <f aca="false">E25</f>
        <v>12.5</v>
      </c>
      <c r="G26" s="32" t="n">
        <f aca="false">F25+G25</f>
        <v>27.5</v>
      </c>
      <c r="H26" s="32" t="n">
        <f aca="false">H25</f>
        <v>40</v>
      </c>
      <c r="I26" s="13" t="s">
        <v>219</v>
      </c>
      <c r="J26" s="13"/>
    </row>
    <row r="28" customFormat="false" ht="30" hidden="false" customHeight="true" outlineLevel="0" collapsed="false">
      <c r="A28" s="13" t="s">
        <v>220</v>
      </c>
      <c r="B28" s="13"/>
      <c r="C28" s="13"/>
      <c r="D28" s="13"/>
      <c r="E28" s="13"/>
      <c r="F28" s="13"/>
      <c r="G28" s="13"/>
      <c r="H28" s="13"/>
      <c r="I28" s="13"/>
      <c r="J28" s="13"/>
    </row>
  </sheetData>
  <mergeCells count="7">
    <mergeCell ref="A1:J1"/>
    <mergeCell ref="A2:J2"/>
    <mergeCell ref="A25:D25"/>
    <mergeCell ref="I25:J25"/>
    <mergeCell ref="A26:D26"/>
    <mergeCell ref="I26:J26"/>
    <mergeCell ref="A28:J2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58"/>
    <col collapsed="false" customWidth="true" hidden="false" outlineLevel="0" max="6" min="6" style="0" width="34"/>
    <col collapsed="false" customWidth="true" hidden="false" outlineLevel="0" max="7" min="7" style="0" width="2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" t="s">
        <v>221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222</v>
      </c>
      <c r="B2" s="2"/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A4" s="9" t="s">
        <v>161</v>
      </c>
      <c r="B4" s="9" t="s">
        <v>223</v>
      </c>
      <c r="C4" s="9" t="s">
        <v>224</v>
      </c>
      <c r="D4" s="9" t="s">
        <v>225</v>
      </c>
      <c r="E4" s="9" t="s">
        <v>226</v>
      </c>
      <c r="F4" s="9" t="s">
        <v>227</v>
      </c>
      <c r="G4" s="9" t="s">
        <v>228</v>
      </c>
      <c r="H4" s="9" t="s">
        <v>229</v>
      </c>
    </row>
    <row r="5" customFormat="false" ht="25.5" hidden="false" customHeight="true" outlineLevel="0" collapsed="false">
      <c r="A5" s="38" t="n">
        <v>1</v>
      </c>
      <c r="B5" s="18" t="s">
        <v>230</v>
      </c>
      <c r="C5" s="39" t="s">
        <v>231</v>
      </c>
      <c r="D5" s="4" t="n">
        <v>15</v>
      </c>
      <c r="E5" s="18" t="s">
        <v>232</v>
      </c>
      <c r="F5" s="18" t="s">
        <v>233</v>
      </c>
      <c r="G5" s="18"/>
      <c r="H5" s="18"/>
    </row>
    <row r="6" customFormat="false" ht="45.75" hidden="false" customHeight="true" outlineLevel="0" collapsed="false">
      <c r="A6" s="38"/>
      <c r="B6" s="38"/>
      <c r="C6" s="39" t="s">
        <v>234</v>
      </c>
      <c r="D6" s="4" t="n">
        <v>90</v>
      </c>
      <c r="E6" s="17" t="s">
        <v>235</v>
      </c>
      <c r="F6" s="18" t="s">
        <v>236</v>
      </c>
      <c r="G6" s="18"/>
      <c r="H6" s="18"/>
    </row>
    <row r="7" customFormat="false" ht="25.5" hidden="false" customHeight="true" outlineLevel="0" collapsed="false">
      <c r="A7" s="38"/>
      <c r="B7" s="38"/>
      <c r="C7" s="39" t="s">
        <v>237</v>
      </c>
      <c r="D7" s="4" t="n">
        <v>15</v>
      </c>
      <c r="E7" s="18" t="s">
        <v>238</v>
      </c>
      <c r="F7" s="17" t="s">
        <v>239</v>
      </c>
      <c r="G7" s="18" t="s">
        <v>240</v>
      </c>
      <c r="H7" s="18"/>
    </row>
    <row r="8" customFormat="false" ht="15" hidden="false" customHeight="false" outlineLevel="0" collapsed="false">
      <c r="A8" s="19"/>
      <c r="B8" s="19"/>
      <c r="C8" s="16" t="s">
        <v>241</v>
      </c>
      <c r="D8" s="40" t="n">
        <f aca="false">SUM(D5:D7)</f>
        <v>120</v>
      </c>
      <c r="E8" s="14" t="str">
        <f aca="false">IF(D8=120,"✔ 120분(2h) 구성","⚠ 시간 배분 확인 필요")</f>
        <v>✔ 120분(2h) 구성</v>
      </c>
      <c r="F8" s="14"/>
      <c r="G8" s="14"/>
      <c r="H8" s="14"/>
    </row>
    <row r="9" customFormat="false" ht="25.5" hidden="false" customHeight="true" outlineLevel="0" collapsed="false">
      <c r="A9" s="38" t="n">
        <v>2</v>
      </c>
      <c r="B9" s="18" t="s">
        <v>242</v>
      </c>
      <c r="C9" s="39" t="s">
        <v>231</v>
      </c>
      <c r="D9" s="4" t="n">
        <v>15</v>
      </c>
      <c r="E9" s="18" t="s">
        <v>243</v>
      </c>
      <c r="F9" s="18" t="s">
        <v>244</v>
      </c>
      <c r="G9" s="18"/>
      <c r="H9" s="18"/>
    </row>
    <row r="10" customFormat="false" ht="45.75" hidden="false" customHeight="true" outlineLevel="0" collapsed="false">
      <c r="A10" s="38"/>
      <c r="B10" s="38"/>
      <c r="C10" s="39" t="s">
        <v>234</v>
      </c>
      <c r="D10" s="4" t="n">
        <v>90</v>
      </c>
      <c r="E10" s="17" t="s">
        <v>245</v>
      </c>
      <c r="F10" s="18" t="s">
        <v>246</v>
      </c>
      <c r="G10" s="18"/>
      <c r="H10" s="18"/>
    </row>
    <row r="11" customFormat="false" ht="25.5" hidden="false" customHeight="true" outlineLevel="0" collapsed="false">
      <c r="A11" s="38"/>
      <c r="B11" s="38"/>
      <c r="C11" s="39" t="s">
        <v>237</v>
      </c>
      <c r="D11" s="4" t="n">
        <v>15</v>
      </c>
      <c r="E11" s="18" t="s">
        <v>247</v>
      </c>
      <c r="F11" s="17" t="s">
        <v>248</v>
      </c>
      <c r="G11" s="18" t="s">
        <v>249</v>
      </c>
      <c r="H11" s="18"/>
    </row>
    <row r="12" customFormat="false" ht="15" hidden="false" customHeight="false" outlineLevel="0" collapsed="false">
      <c r="A12" s="19"/>
      <c r="B12" s="19"/>
      <c r="C12" s="16" t="s">
        <v>241</v>
      </c>
      <c r="D12" s="40" t="n">
        <f aca="false">SUM(D9:D11)</f>
        <v>120</v>
      </c>
      <c r="E12" s="14" t="str">
        <f aca="false">IF(D12=120,"✔ 120분(2h) 구성","⚠ 시간 배분 확인 필요")</f>
        <v>✔ 120분(2h) 구성</v>
      </c>
      <c r="F12" s="14"/>
      <c r="G12" s="14"/>
      <c r="H12" s="14"/>
    </row>
    <row r="13" customFormat="false" ht="25.5" hidden="false" customHeight="true" outlineLevel="0" collapsed="false">
      <c r="A13" s="38" t="n">
        <v>3</v>
      </c>
      <c r="B13" s="18" t="s">
        <v>250</v>
      </c>
      <c r="C13" s="39" t="s">
        <v>231</v>
      </c>
      <c r="D13" s="4" t="n">
        <v>15</v>
      </c>
      <c r="E13" s="18" t="s">
        <v>251</v>
      </c>
      <c r="F13" s="18" t="s">
        <v>252</v>
      </c>
      <c r="G13" s="18"/>
      <c r="H13" s="18"/>
    </row>
    <row r="14" customFormat="false" ht="45.75" hidden="false" customHeight="true" outlineLevel="0" collapsed="false">
      <c r="A14" s="38"/>
      <c r="B14" s="38"/>
      <c r="C14" s="39" t="s">
        <v>234</v>
      </c>
      <c r="D14" s="4" t="n">
        <v>90</v>
      </c>
      <c r="E14" s="17" t="s">
        <v>253</v>
      </c>
      <c r="F14" s="18" t="s">
        <v>254</v>
      </c>
      <c r="G14" s="18"/>
      <c r="H14" s="18"/>
    </row>
    <row r="15" customFormat="false" ht="25.5" hidden="false" customHeight="true" outlineLevel="0" collapsed="false">
      <c r="A15" s="38"/>
      <c r="B15" s="38"/>
      <c r="C15" s="39" t="s">
        <v>237</v>
      </c>
      <c r="D15" s="4" t="n">
        <v>15</v>
      </c>
      <c r="E15" s="18" t="s">
        <v>255</v>
      </c>
      <c r="F15" s="17" t="s">
        <v>248</v>
      </c>
      <c r="G15" s="18" t="s">
        <v>256</v>
      </c>
      <c r="H15" s="18"/>
    </row>
    <row r="16" customFormat="false" ht="15" hidden="false" customHeight="false" outlineLevel="0" collapsed="false">
      <c r="A16" s="19"/>
      <c r="B16" s="19"/>
      <c r="C16" s="16" t="s">
        <v>241</v>
      </c>
      <c r="D16" s="40" t="n">
        <f aca="false">SUM(D13:D15)</f>
        <v>120</v>
      </c>
      <c r="E16" s="14" t="str">
        <f aca="false">IF(D16=120,"✔ 120분(2h) 구성","⚠ 시간 배분 확인 필요")</f>
        <v>✔ 120분(2h) 구성</v>
      </c>
      <c r="F16" s="14"/>
      <c r="G16" s="14"/>
      <c r="H16" s="14"/>
    </row>
    <row r="17" customFormat="false" ht="25.5" hidden="false" customHeight="true" outlineLevel="0" collapsed="false">
      <c r="A17" s="38" t="n">
        <v>4</v>
      </c>
      <c r="B17" s="18" t="s">
        <v>257</v>
      </c>
      <c r="C17" s="39" t="s">
        <v>231</v>
      </c>
      <c r="D17" s="4" t="n">
        <v>15</v>
      </c>
      <c r="E17" s="18" t="s">
        <v>258</v>
      </c>
      <c r="F17" s="18" t="s">
        <v>259</v>
      </c>
      <c r="G17" s="18"/>
      <c r="H17" s="18"/>
    </row>
    <row r="18" customFormat="false" ht="45.75" hidden="false" customHeight="true" outlineLevel="0" collapsed="false">
      <c r="A18" s="38"/>
      <c r="B18" s="38"/>
      <c r="C18" s="39" t="s">
        <v>234</v>
      </c>
      <c r="D18" s="4" t="n">
        <v>90</v>
      </c>
      <c r="E18" s="17" t="s">
        <v>260</v>
      </c>
      <c r="F18" s="18" t="s">
        <v>261</v>
      </c>
      <c r="G18" s="18"/>
      <c r="H18" s="18"/>
    </row>
    <row r="19" customFormat="false" ht="25.5" hidden="false" customHeight="true" outlineLevel="0" collapsed="false">
      <c r="A19" s="38"/>
      <c r="B19" s="38"/>
      <c r="C19" s="39" t="s">
        <v>237</v>
      </c>
      <c r="D19" s="4" t="n">
        <v>15</v>
      </c>
      <c r="E19" s="18" t="s">
        <v>262</v>
      </c>
      <c r="F19" s="17" t="s">
        <v>248</v>
      </c>
      <c r="G19" s="18" t="s">
        <v>263</v>
      </c>
      <c r="H19" s="18"/>
    </row>
    <row r="20" customFormat="false" ht="15" hidden="false" customHeight="false" outlineLevel="0" collapsed="false">
      <c r="A20" s="19"/>
      <c r="B20" s="19"/>
      <c r="C20" s="16" t="s">
        <v>241</v>
      </c>
      <c r="D20" s="40" t="n">
        <f aca="false">SUM(D17:D19)</f>
        <v>120</v>
      </c>
      <c r="E20" s="14" t="str">
        <f aca="false">IF(D20=120,"✔ 120분(2h) 구성","⚠ 시간 배분 확인 필요")</f>
        <v>✔ 120분(2h) 구성</v>
      </c>
      <c r="F20" s="14"/>
      <c r="G20" s="14"/>
      <c r="H20" s="14"/>
    </row>
    <row r="21" customFormat="false" ht="25.5" hidden="false" customHeight="true" outlineLevel="0" collapsed="false">
      <c r="A21" s="38" t="n">
        <v>5</v>
      </c>
      <c r="B21" s="18" t="s">
        <v>264</v>
      </c>
      <c r="C21" s="39" t="s">
        <v>231</v>
      </c>
      <c r="D21" s="4" t="n">
        <v>15</v>
      </c>
      <c r="E21" s="18" t="s">
        <v>265</v>
      </c>
      <c r="F21" s="18" t="s">
        <v>266</v>
      </c>
      <c r="G21" s="18"/>
      <c r="H21" s="18"/>
    </row>
    <row r="22" customFormat="false" ht="45.75" hidden="false" customHeight="true" outlineLevel="0" collapsed="false">
      <c r="A22" s="38"/>
      <c r="B22" s="38"/>
      <c r="C22" s="39" t="s">
        <v>234</v>
      </c>
      <c r="D22" s="4" t="n">
        <v>90</v>
      </c>
      <c r="E22" s="17" t="s">
        <v>267</v>
      </c>
      <c r="F22" s="18" t="s">
        <v>268</v>
      </c>
      <c r="G22" s="18"/>
      <c r="H22" s="18"/>
    </row>
    <row r="23" customFormat="false" ht="25.5" hidden="false" customHeight="true" outlineLevel="0" collapsed="false">
      <c r="A23" s="38"/>
      <c r="B23" s="38"/>
      <c r="C23" s="39" t="s">
        <v>237</v>
      </c>
      <c r="D23" s="4" t="n">
        <v>15</v>
      </c>
      <c r="E23" s="18" t="s">
        <v>269</v>
      </c>
      <c r="F23" s="17" t="s">
        <v>248</v>
      </c>
      <c r="G23" s="18" t="s">
        <v>270</v>
      </c>
      <c r="H23" s="18"/>
    </row>
    <row r="24" customFormat="false" ht="15" hidden="false" customHeight="false" outlineLevel="0" collapsed="false">
      <c r="A24" s="19"/>
      <c r="B24" s="19"/>
      <c r="C24" s="16" t="s">
        <v>241</v>
      </c>
      <c r="D24" s="40" t="n">
        <f aca="false">SUM(D21:D23)</f>
        <v>120</v>
      </c>
      <c r="E24" s="14" t="str">
        <f aca="false">IF(D24=120,"✔ 120분(2h) 구성","⚠ 시간 배분 확인 필요")</f>
        <v>✔ 120분(2h) 구성</v>
      </c>
      <c r="F24" s="14"/>
      <c r="G24" s="14"/>
      <c r="H24" s="14"/>
    </row>
    <row r="25" customFormat="false" ht="25.5" hidden="false" customHeight="true" outlineLevel="0" collapsed="false">
      <c r="A25" s="38" t="n">
        <v>6</v>
      </c>
      <c r="B25" s="18" t="s">
        <v>271</v>
      </c>
      <c r="C25" s="39" t="s">
        <v>231</v>
      </c>
      <c r="D25" s="4" t="n">
        <v>15</v>
      </c>
      <c r="E25" s="18" t="s">
        <v>272</v>
      </c>
      <c r="F25" s="18" t="s">
        <v>273</v>
      </c>
      <c r="G25" s="18"/>
      <c r="H25" s="18"/>
    </row>
    <row r="26" customFormat="false" ht="45.75" hidden="false" customHeight="true" outlineLevel="0" collapsed="false">
      <c r="A26" s="38"/>
      <c r="B26" s="38"/>
      <c r="C26" s="39" t="s">
        <v>234</v>
      </c>
      <c r="D26" s="4" t="n">
        <v>90</v>
      </c>
      <c r="E26" s="17" t="s">
        <v>274</v>
      </c>
      <c r="F26" s="18" t="s">
        <v>275</v>
      </c>
      <c r="G26" s="18"/>
      <c r="H26" s="18"/>
    </row>
    <row r="27" customFormat="false" ht="25.5" hidden="false" customHeight="true" outlineLevel="0" collapsed="false">
      <c r="A27" s="38"/>
      <c r="B27" s="38"/>
      <c r="C27" s="39" t="s">
        <v>237</v>
      </c>
      <c r="D27" s="4" t="n">
        <v>15</v>
      </c>
      <c r="E27" s="18" t="s">
        <v>276</v>
      </c>
      <c r="F27" s="17" t="s">
        <v>248</v>
      </c>
      <c r="G27" s="18" t="s">
        <v>277</v>
      </c>
      <c r="H27" s="18"/>
    </row>
    <row r="28" customFormat="false" ht="15" hidden="false" customHeight="false" outlineLevel="0" collapsed="false">
      <c r="A28" s="19"/>
      <c r="B28" s="19"/>
      <c r="C28" s="16" t="s">
        <v>241</v>
      </c>
      <c r="D28" s="40" t="n">
        <f aca="false">SUM(D25:D27)</f>
        <v>120</v>
      </c>
      <c r="E28" s="14" t="str">
        <f aca="false">IF(D28=120,"✔ 120분(2h) 구성","⚠ 시간 배분 확인 필요")</f>
        <v>✔ 120분(2h) 구성</v>
      </c>
      <c r="F28" s="14"/>
      <c r="G28" s="14"/>
      <c r="H28" s="14"/>
    </row>
    <row r="29" customFormat="false" ht="25.5" hidden="false" customHeight="true" outlineLevel="0" collapsed="false">
      <c r="A29" s="38" t="n">
        <v>7</v>
      </c>
      <c r="B29" s="18" t="s">
        <v>278</v>
      </c>
      <c r="C29" s="39" t="s">
        <v>231</v>
      </c>
      <c r="D29" s="4" t="n">
        <v>15</v>
      </c>
      <c r="E29" s="18" t="s">
        <v>279</v>
      </c>
      <c r="F29" s="18" t="s">
        <v>280</v>
      </c>
      <c r="G29" s="18"/>
      <c r="H29" s="18"/>
    </row>
    <row r="30" customFormat="false" ht="45.75" hidden="false" customHeight="true" outlineLevel="0" collapsed="false">
      <c r="A30" s="38"/>
      <c r="B30" s="38"/>
      <c r="C30" s="39" t="s">
        <v>234</v>
      </c>
      <c r="D30" s="4" t="n">
        <v>90</v>
      </c>
      <c r="E30" s="17" t="s">
        <v>281</v>
      </c>
      <c r="F30" s="18" t="s">
        <v>282</v>
      </c>
      <c r="G30" s="18" t="s">
        <v>283</v>
      </c>
      <c r="H30" s="18"/>
    </row>
    <row r="31" customFormat="false" ht="25.5" hidden="false" customHeight="true" outlineLevel="0" collapsed="false">
      <c r="A31" s="38"/>
      <c r="B31" s="38"/>
      <c r="C31" s="39" t="s">
        <v>237</v>
      </c>
      <c r="D31" s="4" t="n">
        <v>15</v>
      </c>
      <c r="E31" s="18" t="s">
        <v>284</v>
      </c>
      <c r="F31" s="18" t="s">
        <v>285</v>
      </c>
      <c r="G31" s="18"/>
      <c r="H31" s="18"/>
    </row>
    <row r="32" customFormat="false" ht="15" hidden="false" customHeight="false" outlineLevel="0" collapsed="false">
      <c r="A32" s="19"/>
      <c r="B32" s="19"/>
      <c r="C32" s="16" t="s">
        <v>241</v>
      </c>
      <c r="D32" s="40" t="n">
        <f aca="false">SUM(D29:D31)</f>
        <v>120</v>
      </c>
      <c r="E32" s="14" t="str">
        <f aca="false">IF(D32=120,"✔ 120분(2h) 구성","⚠ 시간 배분 확인 필요")</f>
        <v>✔ 120분(2h) 구성</v>
      </c>
      <c r="F32" s="14"/>
      <c r="G32" s="14"/>
      <c r="H32" s="14"/>
    </row>
    <row r="33" customFormat="false" ht="25.5" hidden="false" customHeight="true" outlineLevel="0" collapsed="false">
      <c r="A33" s="38" t="n">
        <v>8</v>
      </c>
      <c r="B33" s="18" t="s">
        <v>286</v>
      </c>
      <c r="C33" s="39" t="s">
        <v>231</v>
      </c>
      <c r="D33" s="4" t="n">
        <v>15</v>
      </c>
      <c r="E33" s="18" t="s">
        <v>287</v>
      </c>
      <c r="F33" s="18" t="s">
        <v>288</v>
      </c>
      <c r="G33" s="18"/>
      <c r="H33" s="18"/>
    </row>
    <row r="34" customFormat="false" ht="45.75" hidden="false" customHeight="true" outlineLevel="0" collapsed="false">
      <c r="A34" s="38"/>
      <c r="B34" s="38"/>
      <c r="C34" s="39" t="s">
        <v>234</v>
      </c>
      <c r="D34" s="4" t="n">
        <v>90</v>
      </c>
      <c r="E34" s="17" t="s">
        <v>289</v>
      </c>
      <c r="F34" s="18" t="s">
        <v>290</v>
      </c>
      <c r="G34" s="18"/>
      <c r="H34" s="18"/>
    </row>
    <row r="35" customFormat="false" ht="25.5" hidden="false" customHeight="true" outlineLevel="0" collapsed="false">
      <c r="A35" s="38"/>
      <c r="B35" s="38"/>
      <c r="C35" s="39" t="s">
        <v>237</v>
      </c>
      <c r="D35" s="4" t="n">
        <v>15</v>
      </c>
      <c r="E35" s="18" t="s">
        <v>291</v>
      </c>
      <c r="F35" s="17" t="s">
        <v>248</v>
      </c>
      <c r="G35" s="18" t="s">
        <v>292</v>
      </c>
      <c r="H35" s="18"/>
    </row>
    <row r="36" customFormat="false" ht="15" hidden="false" customHeight="false" outlineLevel="0" collapsed="false">
      <c r="A36" s="19"/>
      <c r="B36" s="19"/>
      <c r="C36" s="16" t="s">
        <v>241</v>
      </c>
      <c r="D36" s="40" t="n">
        <f aca="false">SUM(D33:D35)</f>
        <v>120</v>
      </c>
      <c r="E36" s="14" t="str">
        <f aca="false">IF(D36=120,"✔ 120분(2h) 구성","⚠ 시간 배분 확인 필요")</f>
        <v>✔ 120분(2h) 구성</v>
      </c>
      <c r="F36" s="14"/>
      <c r="G36" s="14"/>
      <c r="H36" s="14"/>
    </row>
    <row r="37" customFormat="false" ht="25.5" hidden="false" customHeight="true" outlineLevel="0" collapsed="false">
      <c r="A37" s="38" t="n">
        <v>9</v>
      </c>
      <c r="B37" s="18" t="s">
        <v>293</v>
      </c>
      <c r="C37" s="39" t="s">
        <v>231</v>
      </c>
      <c r="D37" s="4" t="n">
        <v>15</v>
      </c>
      <c r="E37" s="18" t="s">
        <v>294</v>
      </c>
      <c r="F37" s="18" t="s">
        <v>295</v>
      </c>
      <c r="G37" s="18"/>
      <c r="H37" s="18"/>
    </row>
    <row r="38" customFormat="false" ht="45.75" hidden="false" customHeight="true" outlineLevel="0" collapsed="false">
      <c r="A38" s="38"/>
      <c r="B38" s="38"/>
      <c r="C38" s="39" t="s">
        <v>234</v>
      </c>
      <c r="D38" s="4" t="n">
        <v>90</v>
      </c>
      <c r="E38" s="17" t="s">
        <v>296</v>
      </c>
      <c r="F38" s="18" t="s">
        <v>297</v>
      </c>
      <c r="G38" s="18"/>
      <c r="H38" s="18"/>
    </row>
    <row r="39" customFormat="false" ht="25.5" hidden="false" customHeight="true" outlineLevel="0" collapsed="false">
      <c r="A39" s="38"/>
      <c r="B39" s="38"/>
      <c r="C39" s="39" t="s">
        <v>237</v>
      </c>
      <c r="D39" s="4" t="n">
        <v>15</v>
      </c>
      <c r="E39" s="18" t="s">
        <v>298</v>
      </c>
      <c r="F39" s="17" t="s">
        <v>248</v>
      </c>
      <c r="G39" s="18" t="s">
        <v>299</v>
      </c>
      <c r="H39" s="18"/>
    </row>
    <row r="40" customFormat="false" ht="15" hidden="false" customHeight="false" outlineLevel="0" collapsed="false">
      <c r="A40" s="19"/>
      <c r="B40" s="19"/>
      <c r="C40" s="16" t="s">
        <v>241</v>
      </c>
      <c r="D40" s="40" t="n">
        <f aca="false">SUM(D37:D39)</f>
        <v>120</v>
      </c>
      <c r="E40" s="14" t="str">
        <f aca="false">IF(D40=120,"✔ 120분(2h) 구성","⚠ 시간 배분 확인 필요")</f>
        <v>✔ 120분(2h) 구성</v>
      </c>
      <c r="F40" s="14"/>
      <c r="G40" s="14"/>
      <c r="H40" s="14"/>
    </row>
    <row r="41" customFormat="false" ht="25.5" hidden="false" customHeight="true" outlineLevel="0" collapsed="false">
      <c r="A41" s="38" t="n">
        <v>10</v>
      </c>
      <c r="B41" s="18" t="s">
        <v>300</v>
      </c>
      <c r="C41" s="39" t="s">
        <v>231</v>
      </c>
      <c r="D41" s="4" t="n">
        <v>15</v>
      </c>
      <c r="E41" s="17" t="s">
        <v>301</v>
      </c>
      <c r="F41" s="18" t="s">
        <v>273</v>
      </c>
      <c r="G41" s="18"/>
      <c r="H41" s="18"/>
    </row>
    <row r="42" customFormat="false" ht="45.75" hidden="false" customHeight="true" outlineLevel="0" collapsed="false">
      <c r="A42" s="38"/>
      <c r="B42" s="38"/>
      <c r="C42" s="39" t="s">
        <v>234</v>
      </c>
      <c r="D42" s="4" t="n">
        <v>90</v>
      </c>
      <c r="E42" s="17" t="s">
        <v>302</v>
      </c>
      <c r="F42" s="18" t="s">
        <v>303</v>
      </c>
      <c r="G42" s="18"/>
      <c r="H42" s="18"/>
    </row>
    <row r="43" customFormat="false" ht="25.5" hidden="false" customHeight="true" outlineLevel="0" collapsed="false">
      <c r="A43" s="38"/>
      <c r="B43" s="38"/>
      <c r="C43" s="39" t="s">
        <v>237</v>
      </c>
      <c r="D43" s="4" t="n">
        <v>15</v>
      </c>
      <c r="E43" s="18" t="s">
        <v>304</v>
      </c>
      <c r="F43" s="17" t="s">
        <v>248</v>
      </c>
      <c r="G43" s="18" t="s">
        <v>305</v>
      </c>
      <c r="H43" s="18"/>
    </row>
    <row r="44" customFormat="false" ht="15" hidden="false" customHeight="false" outlineLevel="0" collapsed="false">
      <c r="A44" s="19"/>
      <c r="B44" s="19"/>
      <c r="C44" s="16" t="s">
        <v>241</v>
      </c>
      <c r="D44" s="40" t="n">
        <f aca="false">SUM(D41:D43)</f>
        <v>120</v>
      </c>
      <c r="E44" s="14" t="str">
        <f aca="false">IF(D44=120,"✔ 120분(2h) 구성","⚠ 시간 배분 확인 필요")</f>
        <v>✔ 120분(2h) 구성</v>
      </c>
      <c r="F44" s="14"/>
      <c r="G44" s="14"/>
      <c r="H44" s="14"/>
    </row>
    <row r="45" customFormat="false" ht="25.5" hidden="false" customHeight="true" outlineLevel="0" collapsed="false">
      <c r="A45" s="38" t="n">
        <v>11</v>
      </c>
      <c r="B45" s="18" t="s">
        <v>306</v>
      </c>
      <c r="C45" s="39" t="s">
        <v>231</v>
      </c>
      <c r="D45" s="4" t="n">
        <v>15</v>
      </c>
      <c r="E45" s="18" t="s">
        <v>307</v>
      </c>
      <c r="F45" s="18" t="s">
        <v>308</v>
      </c>
      <c r="G45" s="18"/>
      <c r="H45" s="18"/>
    </row>
    <row r="46" customFormat="false" ht="45.75" hidden="false" customHeight="true" outlineLevel="0" collapsed="false">
      <c r="A46" s="38"/>
      <c r="B46" s="38"/>
      <c r="C46" s="39" t="s">
        <v>234</v>
      </c>
      <c r="D46" s="4" t="n">
        <v>90</v>
      </c>
      <c r="E46" s="17" t="s">
        <v>309</v>
      </c>
      <c r="F46" s="18" t="s">
        <v>310</v>
      </c>
      <c r="G46" s="18"/>
      <c r="H46" s="18"/>
    </row>
    <row r="47" customFormat="false" ht="25.5" hidden="false" customHeight="true" outlineLevel="0" collapsed="false">
      <c r="A47" s="38"/>
      <c r="B47" s="38"/>
      <c r="C47" s="39" t="s">
        <v>237</v>
      </c>
      <c r="D47" s="4" t="n">
        <v>15</v>
      </c>
      <c r="E47" s="18" t="s">
        <v>311</v>
      </c>
      <c r="F47" s="17" t="s">
        <v>248</v>
      </c>
      <c r="G47" s="18" t="s">
        <v>312</v>
      </c>
      <c r="H47" s="18"/>
    </row>
    <row r="48" customFormat="false" ht="15" hidden="false" customHeight="false" outlineLevel="0" collapsed="false">
      <c r="A48" s="19"/>
      <c r="B48" s="19"/>
      <c r="C48" s="16" t="s">
        <v>241</v>
      </c>
      <c r="D48" s="40" t="n">
        <f aca="false">SUM(D45:D47)</f>
        <v>120</v>
      </c>
      <c r="E48" s="14" t="str">
        <f aca="false">IF(D48=120,"✔ 120분(2h) 구성","⚠ 시간 배분 확인 필요")</f>
        <v>✔ 120분(2h) 구성</v>
      </c>
      <c r="F48" s="14"/>
      <c r="G48" s="14"/>
      <c r="H48" s="14"/>
    </row>
    <row r="49" customFormat="false" ht="25.5" hidden="false" customHeight="true" outlineLevel="0" collapsed="false">
      <c r="A49" s="38" t="n">
        <v>12</v>
      </c>
      <c r="B49" s="18" t="s">
        <v>313</v>
      </c>
      <c r="C49" s="39" t="s">
        <v>231</v>
      </c>
      <c r="D49" s="4" t="n">
        <v>15</v>
      </c>
      <c r="E49" s="18" t="s">
        <v>314</v>
      </c>
      <c r="F49" s="18" t="s">
        <v>273</v>
      </c>
      <c r="G49" s="18"/>
      <c r="H49" s="18"/>
    </row>
    <row r="50" customFormat="false" ht="45.75" hidden="false" customHeight="true" outlineLevel="0" collapsed="false">
      <c r="A50" s="38"/>
      <c r="B50" s="38"/>
      <c r="C50" s="39" t="s">
        <v>234</v>
      </c>
      <c r="D50" s="4" t="n">
        <v>90</v>
      </c>
      <c r="E50" s="17" t="s">
        <v>315</v>
      </c>
      <c r="F50" s="18" t="s">
        <v>316</v>
      </c>
      <c r="G50" s="18"/>
      <c r="H50" s="18"/>
    </row>
    <row r="51" customFormat="false" ht="25.5" hidden="false" customHeight="true" outlineLevel="0" collapsed="false">
      <c r="A51" s="38"/>
      <c r="B51" s="38"/>
      <c r="C51" s="39" t="s">
        <v>237</v>
      </c>
      <c r="D51" s="4" t="n">
        <v>15</v>
      </c>
      <c r="E51" s="18" t="s">
        <v>317</v>
      </c>
      <c r="F51" s="17" t="s">
        <v>248</v>
      </c>
      <c r="G51" s="18" t="s">
        <v>318</v>
      </c>
      <c r="H51" s="18"/>
    </row>
    <row r="52" customFormat="false" ht="15" hidden="false" customHeight="false" outlineLevel="0" collapsed="false">
      <c r="A52" s="19"/>
      <c r="B52" s="19"/>
      <c r="C52" s="16" t="s">
        <v>241</v>
      </c>
      <c r="D52" s="40" t="n">
        <f aca="false">SUM(D49:D51)</f>
        <v>120</v>
      </c>
      <c r="E52" s="14" t="str">
        <f aca="false">IF(D52=120,"✔ 120분(2h) 구성","⚠ 시간 배분 확인 필요")</f>
        <v>✔ 120분(2h) 구성</v>
      </c>
      <c r="F52" s="14"/>
      <c r="G52" s="14"/>
      <c r="H52" s="14"/>
    </row>
    <row r="53" customFormat="false" ht="25.5" hidden="false" customHeight="true" outlineLevel="0" collapsed="false">
      <c r="A53" s="38" t="n">
        <v>13</v>
      </c>
      <c r="B53" s="18" t="s">
        <v>319</v>
      </c>
      <c r="C53" s="39" t="s">
        <v>231</v>
      </c>
      <c r="D53" s="4" t="n">
        <v>15</v>
      </c>
      <c r="E53" s="18" t="s">
        <v>320</v>
      </c>
      <c r="F53" s="18" t="s">
        <v>273</v>
      </c>
      <c r="G53" s="18"/>
      <c r="H53" s="18"/>
    </row>
    <row r="54" customFormat="false" ht="45.75" hidden="false" customHeight="true" outlineLevel="0" collapsed="false">
      <c r="A54" s="38"/>
      <c r="B54" s="38"/>
      <c r="C54" s="39" t="s">
        <v>234</v>
      </c>
      <c r="D54" s="4" t="n">
        <v>90</v>
      </c>
      <c r="E54" s="17" t="s">
        <v>321</v>
      </c>
      <c r="F54" s="18" t="s">
        <v>322</v>
      </c>
      <c r="G54" s="18"/>
      <c r="H54" s="18"/>
    </row>
    <row r="55" customFormat="false" ht="25.5" hidden="false" customHeight="true" outlineLevel="0" collapsed="false">
      <c r="A55" s="38"/>
      <c r="B55" s="38"/>
      <c r="C55" s="39" t="s">
        <v>237</v>
      </c>
      <c r="D55" s="4" t="n">
        <v>15</v>
      </c>
      <c r="E55" s="18" t="s">
        <v>323</v>
      </c>
      <c r="F55" s="17" t="s">
        <v>248</v>
      </c>
      <c r="G55" s="18" t="s">
        <v>324</v>
      </c>
      <c r="H55" s="18"/>
    </row>
    <row r="56" customFormat="false" ht="15" hidden="false" customHeight="false" outlineLevel="0" collapsed="false">
      <c r="A56" s="19"/>
      <c r="B56" s="19"/>
      <c r="C56" s="16" t="s">
        <v>241</v>
      </c>
      <c r="D56" s="40" t="n">
        <f aca="false">SUM(D53:D55)</f>
        <v>120</v>
      </c>
      <c r="E56" s="14" t="str">
        <f aca="false">IF(D56=120,"✔ 120분(2h) 구성","⚠ 시간 배분 확인 필요")</f>
        <v>✔ 120분(2h) 구성</v>
      </c>
      <c r="F56" s="14"/>
      <c r="G56" s="14"/>
      <c r="H56" s="14"/>
    </row>
    <row r="57" customFormat="false" ht="25.5" hidden="false" customHeight="true" outlineLevel="0" collapsed="false">
      <c r="A57" s="38" t="n">
        <v>14</v>
      </c>
      <c r="B57" s="18" t="s">
        <v>325</v>
      </c>
      <c r="C57" s="39" t="s">
        <v>231</v>
      </c>
      <c r="D57" s="4" t="n">
        <v>15</v>
      </c>
      <c r="E57" s="18" t="s">
        <v>326</v>
      </c>
      <c r="F57" s="18" t="s">
        <v>280</v>
      </c>
      <c r="G57" s="18"/>
      <c r="H57" s="18"/>
    </row>
    <row r="58" customFormat="false" ht="45.75" hidden="false" customHeight="true" outlineLevel="0" collapsed="false">
      <c r="A58" s="38"/>
      <c r="B58" s="38"/>
      <c r="C58" s="39" t="s">
        <v>234</v>
      </c>
      <c r="D58" s="4" t="n">
        <v>90</v>
      </c>
      <c r="E58" s="17" t="s">
        <v>327</v>
      </c>
      <c r="F58" s="18" t="s">
        <v>328</v>
      </c>
      <c r="G58" s="18" t="s">
        <v>329</v>
      </c>
      <c r="H58" s="18"/>
    </row>
    <row r="59" customFormat="false" ht="25.5" hidden="false" customHeight="true" outlineLevel="0" collapsed="false">
      <c r="A59" s="38"/>
      <c r="B59" s="38"/>
      <c r="C59" s="39" t="s">
        <v>237</v>
      </c>
      <c r="D59" s="4" t="n">
        <v>15</v>
      </c>
      <c r="E59" s="18" t="s">
        <v>330</v>
      </c>
      <c r="F59" s="18" t="s">
        <v>285</v>
      </c>
      <c r="G59" s="18"/>
      <c r="H59" s="18"/>
    </row>
    <row r="60" customFormat="false" ht="15" hidden="false" customHeight="false" outlineLevel="0" collapsed="false">
      <c r="A60" s="19"/>
      <c r="B60" s="19"/>
      <c r="C60" s="16" t="s">
        <v>241</v>
      </c>
      <c r="D60" s="40" t="n">
        <f aca="false">SUM(D57:D59)</f>
        <v>120</v>
      </c>
      <c r="E60" s="14" t="str">
        <f aca="false">IF(D60=120,"✔ 120분(2h) 구성","⚠ 시간 배분 확인 필요")</f>
        <v>✔ 120분(2h) 구성</v>
      </c>
      <c r="F60" s="14"/>
      <c r="G60" s="14"/>
      <c r="H60" s="14"/>
    </row>
    <row r="61" customFormat="false" ht="25.5" hidden="false" customHeight="true" outlineLevel="0" collapsed="false">
      <c r="A61" s="38" t="n">
        <v>15</v>
      </c>
      <c r="B61" s="18" t="s">
        <v>331</v>
      </c>
      <c r="C61" s="39" t="s">
        <v>231</v>
      </c>
      <c r="D61" s="4" t="n">
        <v>15</v>
      </c>
      <c r="E61" s="18" t="s">
        <v>332</v>
      </c>
      <c r="F61" s="18" t="s">
        <v>288</v>
      </c>
      <c r="G61" s="18"/>
      <c r="H61" s="18"/>
    </row>
    <row r="62" customFormat="false" ht="45.75" hidden="false" customHeight="true" outlineLevel="0" collapsed="false">
      <c r="A62" s="38"/>
      <c r="B62" s="38"/>
      <c r="C62" s="39" t="s">
        <v>234</v>
      </c>
      <c r="D62" s="4" t="n">
        <v>90</v>
      </c>
      <c r="E62" s="17" t="s">
        <v>333</v>
      </c>
      <c r="F62" s="18" t="s">
        <v>334</v>
      </c>
      <c r="G62" s="18"/>
      <c r="H62" s="18"/>
    </row>
    <row r="63" customFormat="false" ht="25.5" hidden="false" customHeight="true" outlineLevel="0" collapsed="false">
      <c r="A63" s="38"/>
      <c r="B63" s="38"/>
      <c r="C63" s="39" t="s">
        <v>237</v>
      </c>
      <c r="D63" s="4" t="n">
        <v>15</v>
      </c>
      <c r="E63" s="18" t="s">
        <v>335</v>
      </c>
      <c r="F63" s="17" t="s">
        <v>248</v>
      </c>
      <c r="G63" s="18" t="s">
        <v>336</v>
      </c>
      <c r="H63" s="18"/>
    </row>
    <row r="64" customFormat="false" ht="15" hidden="false" customHeight="false" outlineLevel="0" collapsed="false">
      <c r="A64" s="19"/>
      <c r="B64" s="19"/>
      <c r="C64" s="16" t="s">
        <v>241</v>
      </c>
      <c r="D64" s="40" t="n">
        <f aca="false">SUM(D61:D63)</f>
        <v>120</v>
      </c>
      <c r="E64" s="14" t="str">
        <f aca="false">IF(D64=120,"✔ 120분(2h) 구성","⚠ 시간 배분 확인 필요")</f>
        <v>✔ 120분(2h) 구성</v>
      </c>
      <c r="F64" s="14"/>
      <c r="G64" s="14"/>
      <c r="H64" s="14"/>
    </row>
    <row r="65" customFormat="false" ht="25.5" hidden="false" customHeight="true" outlineLevel="0" collapsed="false">
      <c r="A65" s="38" t="n">
        <v>16</v>
      </c>
      <c r="B65" s="18" t="s">
        <v>337</v>
      </c>
      <c r="C65" s="39" t="s">
        <v>231</v>
      </c>
      <c r="D65" s="4" t="n">
        <v>15</v>
      </c>
      <c r="E65" s="18" t="s">
        <v>338</v>
      </c>
      <c r="F65" s="18" t="s">
        <v>273</v>
      </c>
      <c r="G65" s="18"/>
      <c r="H65" s="18"/>
    </row>
    <row r="66" customFormat="false" ht="45.75" hidden="false" customHeight="true" outlineLevel="0" collapsed="false">
      <c r="A66" s="38"/>
      <c r="B66" s="38"/>
      <c r="C66" s="39" t="s">
        <v>234</v>
      </c>
      <c r="D66" s="4" t="n">
        <v>90</v>
      </c>
      <c r="E66" s="17" t="s">
        <v>339</v>
      </c>
      <c r="F66" s="18" t="s">
        <v>340</v>
      </c>
      <c r="G66" s="18"/>
      <c r="H66" s="18"/>
    </row>
    <row r="67" customFormat="false" ht="25.5" hidden="false" customHeight="true" outlineLevel="0" collapsed="false">
      <c r="A67" s="38"/>
      <c r="B67" s="38"/>
      <c r="C67" s="39" t="s">
        <v>237</v>
      </c>
      <c r="D67" s="4" t="n">
        <v>15</v>
      </c>
      <c r="E67" s="18" t="s">
        <v>341</v>
      </c>
      <c r="F67" s="17" t="s">
        <v>248</v>
      </c>
      <c r="G67" s="18" t="s">
        <v>342</v>
      </c>
      <c r="H67" s="18"/>
    </row>
    <row r="68" customFormat="false" ht="15" hidden="false" customHeight="false" outlineLevel="0" collapsed="false">
      <c r="A68" s="19"/>
      <c r="B68" s="19"/>
      <c r="C68" s="16" t="s">
        <v>241</v>
      </c>
      <c r="D68" s="40" t="n">
        <f aca="false">SUM(D65:D67)</f>
        <v>120</v>
      </c>
      <c r="E68" s="14" t="str">
        <f aca="false">IF(D68=120,"✔ 120분(2h) 구성","⚠ 시간 배분 확인 필요")</f>
        <v>✔ 120분(2h) 구성</v>
      </c>
      <c r="F68" s="14"/>
      <c r="G68" s="14"/>
      <c r="H68" s="14"/>
    </row>
    <row r="69" customFormat="false" ht="25.5" hidden="false" customHeight="true" outlineLevel="0" collapsed="false">
      <c r="A69" s="38" t="n">
        <v>17</v>
      </c>
      <c r="B69" s="18" t="s">
        <v>343</v>
      </c>
      <c r="C69" s="39" t="s">
        <v>231</v>
      </c>
      <c r="D69" s="4" t="n">
        <v>15</v>
      </c>
      <c r="E69" s="18" t="s">
        <v>344</v>
      </c>
      <c r="F69" s="18" t="s">
        <v>266</v>
      </c>
      <c r="G69" s="18"/>
      <c r="H69" s="18"/>
    </row>
    <row r="70" customFormat="false" ht="45.75" hidden="false" customHeight="true" outlineLevel="0" collapsed="false">
      <c r="A70" s="38"/>
      <c r="B70" s="38"/>
      <c r="C70" s="39" t="s">
        <v>234</v>
      </c>
      <c r="D70" s="4" t="n">
        <v>90</v>
      </c>
      <c r="E70" s="17" t="s">
        <v>345</v>
      </c>
      <c r="F70" s="18" t="s">
        <v>346</v>
      </c>
      <c r="G70" s="18"/>
      <c r="H70" s="18"/>
    </row>
    <row r="71" customFormat="false" ht="25.5" hidden="false" customHeight="true" outlineLevel="0" collapsed="false">
      <c r="A71" s="38"/>
      <c r="B71" s="38"/>
      <c r="C71" s="39" t="s">
        <v>237</v>
      </c>
      <c r="D71" s="4" t="n">
        <v>15</v>
      </c>
      <c r="E71" s="18" t="s">
        <v>347</v>
      </c>
      <c r="F71" s="18" t="s">
        <v>348</v>
      </c>
      <c r="G71" s="18" t="s">
        <v>349</v>
      </c>
      <c r="H71" s="18"/>
    </row>
    <row r="72" customFormat="false" ht="15" hidden="false" customHeight="false" outlineLevel="0" collapsed="false">
      <c r="A72" s="19"/>
      <c r="B72" s="19"/>
      <c r="C72" s="16" t="s">
        <v>241</v>
      </c>
      <c r="D72" s="40" t="n">
        <f aca="false">SUM(D69:D71)</f>
        <v>120</v>
      </c>
      <c r="E72" s="14" t="str">
        <f aca="false">IF(D72=120,"✔ 120분(2h) 구성","⚠ 시간 배분 확인 필요")</f>
        <v>✔ 120분(2h) 구성</v>
      </c>
      <c r="F72" s="14"/>
      <c r="G72" s="14"/>
      <c r="H72" s="14"/>
    </row>
    <row r="73" customFormat="false" ht="25.5" hidden="false" customHeight="true" outlineLevel="0" collapsed="false">
      <c r="A73" s="38" t="n">
        <v>18</v>
      </c>
      <c r="B73" s="18" t="s">
        <v>350</v>
      </c>
      <c r="C73" s="39" t="s">
        <v>231</v>
      </c>
      <c r="D73" s="4" t="n">
        <v>15</v>
      </c>
      <c r="E73" s="18" t="s">
        <v>351</v>
      </c>
      <c r="F73" s="18" t="s">
        <v>352</v>
      </c>
      <c r="G73" s="18"/>
      <c r="H73" s="18"/>
    </row>
    <row r="74" customFormat="false" ht="45.75" hidden="false" customHeight="true" outlineLevel="0" collapsed="false">
      <c r="A74" s="38"/>
      <c r="B74" s="38"/>
      <c r="C74" s="39" t="s">
        <v>234</v>
      </c>
      <c r="D74" s="4" t="n">
        <v>90</v>
      </c>
      <c r="E74" s="17" t="s">
        <v>353</v>
      </c>
      <c r="F74" s="18" t="s">
        <v>354</v>
      </c>
      <c r="G74" s="18"/>
      <c r="H74" s="18"/>
    </row>
    <row r="75" customFormat="false" ht="25.5" hidden="false" customHeight="true" outlineLevel="0" collapsed="false">
      <c r="A75" s="38"/>
      <c r="B75" s="38"/>
      <c r="C75" s="39" t="s">
        <v>237</v>
      </c>
      <c r="D75" s="4" t="n">
        <v>15</v>
      </c>
      <c r="E75" s="18" t="s">
        <v>355</v>
      </c>
      <c r="F75" s="17" t="s">
        <v>356</v>
      </c>
      <c r="G75" s="18" t="s">
        <v>357</v>
      </c>
      <c r="H75" s="18"/>
    </row>
    <row r="76" customFormat="false" ht="15" hidden="false" customHeight="false" outlineLevel="0" collapsed="false">
      <c r="A76" s="19"/>
      <c r="B76" s="19"/>
      <c r="C76" s="16" t="s">
        <v>241</v>
      </c>
      <c r="D76" s="40" t="n">
        <f aca="false">SUM(D73:D75)</f>
        <v>120</v>
      </c>
      <c r="E76" s="14" t="str">
        <f aca="false">IF(D76=120,"✔ 120분(2h) 구성","⚠ 시간 배분 확인 필요")</f>
        <v>✔ 120분(2h) 구성</v>
      </c>
      <c r="F76" s="14"/>
      <c r="G76" s="14"/>
      <c r="H76" s="14"/>
    </row>
    <row r="77" customFormat="false" ht="25.5" hidden="false" customHeight="true" outlineLevel="0" collapsed="false">
      <c r="A77" s="38" t="n">
        <v>19</v>
      </c>
      <c r="B77" s="18" t="s">
        <v>358</v>
      </c>
      <c r="C77" s="39" t="s">
        <v>231</v>
      </c>
      <c r="D77" s="4" t="n">
        <v>15</v>
      </c>
      <c r="E77" s="18" t="s">
        <v>359</v>
      </c>
      <c r="F77" s="17" t="s">
        <v>24</v>
      </c>
      <c r="G77" s="18"/>
      <c r="H77" s="18"/>
    </row>
    <row r="78" customFormat="false" ht="45.75" hidden="false" customHeight="true" outlineLevel="0" collapsed="false">
      <c r="A78" s="38"/>
      <c r="B78" s="38"/>
      <c r="C78" s="39" t="s">
        <v>234</v>
      </c>
      <c r="D78" s="4" t="n">
        <v>90</v>
      </c>
      <c r="E78" s="17" t="s">
        <v>360</v>
      </c>
      <c r="F78" s="17" t="s">
        <v>361</v>
      </c>
      <c r="G78" s="18"/>
      <c r="H78" s="18"/>
    </row>
    <row r="79" customFormat="false" ht="25.5" hidden="false" customHeight="true" outlineLevel="0" collapsed="false">
      <c r="A79" s="38"/>
      <c r="B79" s="38"/>
      <c r="C79" s="39" t="s">
        <v>237</v>
      </c>
      <c r="D79" s="4" t="n">
        <v>15</v>
      </c>
      <c r="E79" s="18" t="s">
        <v>362</v>
      </c>
      <c r="F79" s="18" t="s">
        <v>363</v>
      </c>
      <c r="G79" s="17" t="s">
        <v>24</v>
      </c>
      <c r="H79" s="18"/>
    </row>
    <row r="80" customFormat="false" ht="15" hidden="false" customHeight="false" outlineLevel="0" collapsed="false">
      <c r="A80" s="19"/>
      <c r="B80" s="19"/>
      <c r="C80" s="16" t="s">
        <v>241</v>
      </c>
      <c r="D80" s="40" t="n">
        <f aca="false">SUM(D77:D79)</f>
        <v>120</v>
      </c>
      <c r="E80" s="14" t="str">
        <f aca="false">IF(D80=120,"✔ 120분(2h) 구성","⚠ 시간 배분 확인 필요")</f>
        <v>✔ 120분(2h) 구성</v>
      </c>
      <c r="F80" s="14"/>
      <c r="G80" s="14"/>
      <c r="H80" s="14"/>
    </row>
    <row r="81" customFormat="false" ht="25.5" hidden="false" customHeight="true" outlineLevel="0" collapsed="false">
      <c r="A81" s="38" t="n">
        <v>20</v>
      </c>
      <c r="B81" s="18" t="s">
        <v>364</v>
      </c>
      <c r="C81" s="39" t="s">
        <v>231</v>
      </c>
      <c r="D81" s="4" t="n">
        <v>10</v>
      </c>
      <c r="E81" s="18" t="s">
        <v>365</v>
      </c>
      <c r="F81" s="18" t="s">
        <v>280</v>
      </c>
      <c r="G81" s="18"/>
      <c r="H81" s="18"/>
    </row>
    <row r="82" customFormat="false" ht="45.75" hidden="false" customHeight="true" outlineLevel="0" collapsed="false">
      <c r="A82" s="38"/>
      <c r="B82" s="38"/>
      <c r="C82" s="39" t="s">
        <v>234</v>
      </c>
      <c r="D82" s="4" t="n">
        <v>100</v>
      </c>
      <c r="E82" s="17" t="s">
        <v>366</v>
      </c>
      <c r="F82" s="18" t="s">
        <v>367</v>
      </c>
      <c r="G82" s="18" t="s">
        <v>368</v>
      </c>
      <c r="H82" s="18"/>
    </row>
    <row r="83" customFormat="false" ht="25.5" hidden="false" customHeight="true" outlineLevel="0" collapsed="false">
      <c r="A83" s="38"/>
      <c r="B83" s="38"/>
      <c r="C83" s="39" t="s">
        <v>237</v>
      </c>
      <c r="D83" s="4" t="n">
        <v>10</v>
      </c>
      <c r="E83" s="18" t="s">
        <v>369</v>
      </c>
      <c r="F83" s="17" t="s">
        <v>24</v>
      </c>
      <c r="G83" s="18"/>
      <c r="H83" s="18"/>
    </row>
    <row r="84" customFormat="false" ht="15" hidden="false" customHeight="false" outlineLevel="0" collapsed="false">
      <c r="A84" s="19"/>
      <c r="B84" s="19"/>
      <c r="C84" s="16" t="s">
        <v>241</v>
      </c>
      <c r="D84" s="40" t="n">
        <f aca="false">SUM(D81:D83)</f>
        <v>120</v>
      </c>
      <c r="E84" s="14" t="str">
        <f aca="false">IF(D84=120,"✔ 120분(2h) 구성","⚠ 시간 배분 확인 필요")</f>
        <v>✔ 120분(2h) 구성</v>
      </c>
      <c r="F84" s="14"/>
      <c r="G84" s="14"/>
      <c r="H84" s="14"/>
    </row>
    <row r="86" customFormat="false" ht="30" hidden="false" customHeight="true" outlineLevel="0" collapsed="false">
      <c r="A86" s="13" t="s">
        <v>370</v>
      </c>
      <c r="B86" s="13"/>
      <c r="C86" s="13"/>
      <c r="D86" s="13"/>
      <c r="E86" s="13"/>
      <c r="F86" s="13"/>
      <c r="G86" s="13"/>
      <c r="H86" s="13"/>
    </row>
  </sheetData>
  <mergeCells count="83">
    <mergeCell ref="A1:H1"/>
    <mergeCell ref="A2:H2"/>
    <mergeCell ref="A5:A7"/>
    <mergeCell ref="B5:B7"/>
    <mergeCell ref="A8:B8"/>
    <mergeCell ref="E8:H8"/>
    <mergeCell ref="A9:A11"/>
    <mergeCell ref="B9:B11"/>
    <mergeCell ref="A12:B12"/>
    <mergeCell ref="E12:H12"/>
    <mergeCell ref="A13:A15"/>
    <mergeCell ref="B13:B15"/>
    <mergeCell ref="A16:B16"/>
    <mergeCell ref="E16:H16"/>
    <mergeCell ref="A17:A19"/>
    <mergeCell ref="B17:B19"/>
    <mergeCell ref="A20:B20"/>
    <mergeCell ref="E20:H20"/>
    <mergeCell ref="A21:A23"/>
    <mergeCell ref="B21:B23"/>
    <mergeCell ref="A24:B24"/>
    <mergeCell ref="E24:H24"/>
    <mergeCell ref="A25:A27"/>
    <mergeCell ref="B25:B27"/>
    <mergeCell ref="A28:B28"/>
    <mergeCell ref="E28:H28"/>
    <mergeCell ref="A29:A31"/>
    <mergeCell ref="B29:B31"/>
    <mergeCell ref="A32:B32"/>
    <mergeCell ref="E32:H32"/>
    <mergeCell ref="A33:A35"/>
    <mergeCell ref="B33:B35"/>
    <mergeCell ref="A36:B36"/>
    <mergeCell ref="E36:H36"/>
    <mergeCell ref="A37:A39"/>
    <mergeCell ref="B37:B39"/>
    <mergeCell ref="A40:B40"/>
    <mergeCell ref="E40:H40"/>
    <mergeCell ref="A41:A43"/>
    <mergeCell ref="B41:B43"/>
    <mergeCell ref="A44:B44"/>
    <mergeCell ref="E44:H44"/>
    <mergeCell ref="A45:A47"/>
    <mergeCell ref="B45:B47"/>
    <mergeCell ref="A48:B48"/>
    <mergeCell ref="E48:H48"/>
    <mergeCell ref="A49:A51"/>
    <mergeCell ref="B49:B51"/>
    <mergeCell ref="A52:B52"/>
    <mergeCell ref="E52:H52"/>
    <mergeCell ref="A53:A55"/>
    <mergeCell ref="B53:B55"/>
    <mergeCell ref="A56:B56"/>
    <mergeCell ref="E56:H56"/>
    <mergeCell ref="A57:A59"/>
    <mergeCell ref="B57:B59"/>
    <mergeCell ref="A60:B60"/>
    <mergeCell ref="E60:H60"/>
    <mergeCell ref="A61:A63"/>
    <mergeCell ref="B61:B63"/>
    <mergeCell ref="A64:B64"/>
    <mergeCell ref="E64:H64"/>
    <mergeCell ref="A65:A67"/>
    <mergeCell ref="B65:B67"/>
    <mergeCell ref="A68:B68"/>
    <mergeCell ref="E68:H68"/>
    <mergeCell ref="A69:A71"/>
    <mergeCell ref="B69:B71"/>
    <mergeCell ref="A72:B72"/>
    <mergeCell ref="E72:H72"/>
    <mergeCell ref="A73:A75"/>
    <mergeCell ref="B73:B75"/>
    <mergeCell ref="A76:B76"/>
    <mergeCell ref="E76:H76"/>
    <mergeCell ref="A77:A79"/>
    <mergeCell ref="B77:B79"/>
    <mergeCell ref="A80:B80"/>
    <mergeCell ref="E80:H80"/>
    <mergeCell ref="A81:A83"/>
    <mergeCell ref="B81:B83"/>
    <mergeCell ref="A84:B84"/>
    <mergeCell ref="E84:H84"/>
    <mergeCell ref="A86:H86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40"/>
    <col collapsed="false" customWidth="true" hidden="false" outlineLevel="0" max="8" min="7" style="0" width="22"/>
  </cols>
  <sheetData>
    <row r="1" customFormat="false" ht="30" hidden="false" customHeight="true" outlineLevel="0" collapsed="false">
      <c r="A1" s="1" t="s">
        <v>371</v>
      </c>
      <c r="B1" s="1"/>
      <c r="C1" s="1"/>
      <c r="D1" s="1"/>
      <c r="E1" s="1"/>
      <c r="F1" s="1"/>
      <c r="G1" s="1"/>
      <c r="H1" s="1"/>
    </row>
    <row r="2" customFormat="false" ht="27.75" hidden="false" customHeight="true" outlineLevel="0" collapsed="false">
      <c r="A2" s="2" t="s">
        <v>372</v>
      </c>
      <c r="B2" s="2"/>
      <c r="C2" s="2"/>
      <c r="D2" s="2"/>
      <c r="E2" s="2"/>
      <c r="F2" s="2"/>
      <c r="G2" s="2"/>
      <c r="H2" s="2"/>
    </row>
    <row r="4" customFormat="false" ht="17.15" hidden="false" customHeight="true" outlineLevel="0" collapsed="false">
      <c r="A4" s="15" t="s">
        <v>373</v>
      </c>
      <c r="B4" s="15"/>
      <c r="C4" s="15"/>
      <c r="D4" s="15"/>
      <c r="E4" s="15"/>
      <c r="F4" s="15"/>
      <c r="G4" s="15"/>
      <c r="H4" s="15"/>
    </row>
    <row r="6" customFormat="false" ht="24" hidden="false" customHeight="true" outlineLevel="0" collapsed="false">
      <c r="A6" s="35" t="s">
        <v>374</v>
      </c>
      <c r="B6" s="9" t="s">
        <v>109</v>
      </c>
      <c r="C6" s="9" t="s">
        <v>375</v>
      </c>
      <c r="D6" s="9" t="s">
        <v>376</v>
      </c>
      <c r="E6" s="9" t="s">
        <v>377</v>
      </c>
      <c r="F6" s="9" t="s">
        <v>378</v>
      </c>
      <c r="G6" s="9" t="s">
        <v>379</v>
      </c>
      <c r="H6" s="9" t="s">
        <v>380</v>
      </c>
    </row>
    <row r="7" customFormat="false" ht="33.75" hidden="false" customHeight="true" outlineLevel="0" collapsed="false">
      <c r="A7" s="11" t="n">
        <v>1</v>
      </c>
      <c r="B7" s="18" t="s">
        <v>381</v>
      </c>
      <c r="C7" s="41" t="n">
        <v>0.1</v>
      </c>
      <c r="D7" s="36" t="n">
        <v>0</v>
      </c>
      <c r="E7" s="20" t="s">
        <v>382</v>
      </c>
      <c r="F7" s="18" t="s">
        <v>383</v>
      </c>
      <c r="G7" s="18" t="s">
        <v>384</v>
      </c>
      <c r="H7" s="18" t="s">
        <v>385</v>
      </c>
    </row>
    <row r="8" customFormat="false" ht="33.75" hidden="false" customHeight="true" outlineLevel="0" collapsed="false">
      <c r="A8" s="11" t="n">
        <v>2</v>
      </c>
      <c r="B8" s="18" t="s">
        <v>386</v>
      </c>
      <c r="C8" s="41" t="n">
        <v>0.3</v>
      </c>
      <c r="D8" s="36" t="n">
        <v>0</v>
      </c>
      <c r="E8" s="4" t="s">
        <v>387</v>
      </c>
      <c r="F8" s="18" t="s">
        <v>388</v>
      </c>
      <c r="G8" s="18" t="s">
        <v>389</v>
      </c>
      <c r="H8" s="17" t="s">
        <v>390</v>
      </c>
    </row>
    <row r="9" customFormat="false" ht="33.75" hidden="false" customHeight="true" outlineLevel="0" collapsed="false">
      <c r="A9" s="11" t="n">
        <v>3</v>
      </c>
      <c r="B9" s="18" t="s">
        <v>391</v>
      </c>
      <c r="C9" s="41" t="n">
        <v>0.2</v>
      </c>
      <c r="D9" s="36" t="n">
        <v>1</v>
      </c>
      <c r="E9" s="20" t="s">
        <v>148</v>
      </c>
      <c r="F9" s="18" t="s">
        <v>392</v>
      </c>
      <c r="G9" s="18" t="s">
        <v>393</v>
      </c>
      <c r="H9" s="18" t="s">
        <v>394</v>
      </c>
    </row>
    <row r="10" customFormat="false" ht="33.75" hidden="false" customHeight="true" outlineLevel="0" collapsed="false">
      <c r="A10" s="11" t="n">
        <v>4</v>
      </c>
      <c r="B10" s="18" t="s">
        <v>395</v>
      </c>
      <c r="C10" s="41" t="n">
        <v>0.4</v>
      </c>
      <c r="D10" s="36" t="n">
        <v>1</v>
      </c>
      <c r="E10" s="20" t="s">
        <v>154</v>
      </c>
      <c r="F10" s="18" t="s">
        <v>396</v>
      </c>
      <c r="G10" s="18" t="s">
        <v>397</v>
      </c>
      <c r="H10" s="17" t="s">
        <v>398</v>
      </c>
    </row>
    <row r="11" customFormat="false" ht="15" hidden="false" customHeight="true" outlineLevel="0" collapsed="false">
      <c r="A11" s="16" t="s">
        <v>156</v>
      </c>
      <c r="B11" s="16"/>
      <c r="C11" s="33" t="n">
        <f aca="false">SUM(C7:C10)</f>
        <v>1</v>
      </c>
      <c r="D11" s="32" t="n">
        <f aca="false">SUM(D7:D10)</f>
        <v>2</v>
      </c>
      <c r="E11" s="34" t="str">
        <f aca="false">IF(ROUND(C11,4)=1,"✔ 비중 합계 100%","⚠ 비중 합계가 100%가 아님")</f>
        <v>✔ 비중 합계 100%</v>
      </c>
      <c r="F11" s="34"/>
      <c r="G11" s="34"/>
      <c r="H11" s="34"/>
    </row>
    <row r="13" customFormat="false" ht="15" hidden="false" customHeight="true" outlineLevel="0" collapsed="false">
      <c r="A13" s="42" t="s">
        <v>399</v>
      </c>
      <c r="B13" s="42"/>
      <c r="C13" s="42"/>
      <c r="D13" s="43" t="n">
        <f aca="false">D11</f>
        <v>2</v>
      </c>
      <c r="E13" s="11" t="str">
        <f aca="false">IF(D13=주차별계획!G25,"✔ 주차별계획 평가시간과 일치","⚠ 주차별계획의 평가(h) 열과 불일치")</f>
        <v>✔ 주차별계획 평가시간과 일치</v>
      </c>
      <c r="F13" s="11"/>
      <c r="G13" s="11"/>
      <c r="H13" s="11"/>
    </row>
    <row r="15" customFormat="false" ht="17.15" hidden="false" customHeight="true" outlineLevel="0" collapsed="false">
      <c r="A15" s="15" t="s">
        <v>400</v>
      </c>
      <c r="B15" s="15"/>
      <c r="C15" s="15"/>
      <c r="D15" s="15"/>
      <c r="E15" s="15"/>
      <c r="F15" s="15"/>
      <c r="G15" s="15"/>
      <c r="H15" s="15"/>
    </row>
    <row r="16" customFormat="false" ht="24" hidden="false" customHeight="true" outlineLevel="0" collapsed="false">
      <c r="A16" s="35" t="s">
        <v>374</v>
      </c>
      <c r="B16" s="9" t="s">
        <v>401</v>
      </c>
      <c r="C16" s="9" t="s">
        <v>402</v>
      </c>
      <c r="D16" s="9" t="s">
        <v>403</v>
      </c>
      <c r="E16" s="9" t="s">
        <v>404</v>
      </c>
      <c r="F16" s="9" t="s">
        <v>405</v>
      </c>
      <c r="G16" s="9" t="s">
        <v>406</v>
      </c>
      <c r="H16" s="9" t="s">
        <v>407</v>
      </c>
    </row>
    <row r="17" customFormat="false" ht="33.75" hidden="false" customHeight="true" outlineLevel="0" collapsed="false">
      <c r="A17" s="11" t="n">
        <v>1</v>
      </c>
      <c r="B17" s="18" t="s">
        <v>408</v>
      </c>
      <c r="C17" s="4" t="n">
        <v>15</v>
      </c>
      <c r="D17" s="18" t="s">
        <v>409</v>
      </c>
      <c r="E17" s="18" t="s">
        <v>410</v>
      </c>
      <c r="F17" s="18" t="s">
        <v>411</v>
      </c>
      <c r="G17" s="20" t="s">
        <v>152</v>
      </c>
      <c r="H17" s="18" t="s">
        <v>412</v>
      </c>
    </row>
    <row r="18" customFormat="false" ht="33.75" hidden="false" customHeight="true" outlineLevel="0" collapsed="false">
      <c r="A18" s="11" t="n">
        <v>2</v>
      </c>
      <c r="B18" s="18" t="s">
        <v>413</v>
      </c>
      <c r="C18" s="4" t="n">
        <v>20</v>
      </c>
      <c r="D18" s="18" t="s">
        <v>414</v>
      </c>
      <c r="E18" s="18" t="s">
        <v>415</v>
      </c>
      <c r="F18" s="18" t="s">
        <v>416</v>
      </c>
      <c r="G18" s="20" t="s">
        <v>417</v>
      </c>
      <c r="H18" s="18" t="s">
        <v>418</v>
      </c>
    </row>
    <row r="19" customFormat="false" ht="33.75" hidden="false" customHeight="true" outlineLevel="0" collapsed="false">
      <c r="A19" s="11" t="n">
        <v>3</v>
      </c>
      <c r="B19" s="18" t="s">
        <v>419</v>
      </c>
      <c r="C19" s="4" t="n">
        <v>20</v>
      </c>
      <c r="D19" s="18" t="s">
        <v>420</v>
      </c>
      <c r="E19" s="18" t="s">
        <v>421</v>
      </c>
      <c r="F19" s="18" t="s">
        <v>422</v>
      </c>
      <c r="G19" s="20" t="s">
        <v>423</v>
      </c>
      <c r="H19" s="18" t="s">
        <v>418</v>
      </c>
    </row>
    <row r="20" customFormat="false" ht="33.75" hidden="false" customHeight="true" outlineLevel="0" collapsed="false">
      <c r="A20" s="11" t="n">
        <v>4</v>
      </c>
      <c r="B20" s="18" t="s">
        <v>424</v>
      </c>
      <c r="C20" s="4" t="n">
        <v>15</v>
      </c>
      <c r="D20" s="18" t="s">
        <v>425</v>
      </c>
      <c r="E20" s="18" t="s">
        <v>426</v>
      </c>
      <c r="F20" s="18" t="s">
        <v>427</v>
      </c>
      <c r="G20" s="20" t="s">
        <v>428</v>
      </c>
      <c r="H20" s="18" t="s">
        <v>429</v>
      </c>
    </row>
    <row r="21" customFormat="false" ht="33.75" hidden="false" customHeight="true" outlineLevel="0" collapsed="false">
      <c r="A21" s="11" t="n">
        <v>5</v>
      </c>
      <c r="B21" s="18" t="s">
        <v>430</v>
      </c>
      <c r="C21" s="4" t="n">
        <v>10</v>
      </c>
      <c r="D21" s="18" t="s">
        <v>431</v>
      </c>
      <c r="E21" s="17" t="s">
        <v>432</v>
      </c>
      <c r="F21" s="18" t="s">
        <v>433</v>
      </c>
      <c r="G21" s="20" t="s">
        <v>152</v>
      </c>
      <c r="H21" s="17" t="s">
        <v>434</v>
      </c>
    </row>
    <row r="22" customFormat="false" ht="33.75" hidden="false" customHeight="true" outlineLevel="0" collapsed="false">
      <c r="A22" s="11" t="n">
        <v>6</v>
      </c>
      <c r="B22" s="18" t="s">
        <v>435</v>
      </c>
      <c r="C22" s="4" t="n">
        <v>10</v>
      </c>
      <c r="D22" s="18" t="s">
        <v>436</v>
      </c>
      <c r="E22" s="18" t="s">
        <v>437</v>
      </c>
      <c r="F22" s="18" t="s">
        <v>438</v>
      </c>
      <c r="G22" s="20" t="s">
        <v>152</v>
      </c>
      <c r="H22" s="18" t="s">
        <v>439</v>
      </c>
    </row>
    <row r="23" customFormat="false" ht="33.75" hidden="false" customHeight="true" outlineLevel="0" collapsed="false">
      <c r="A23" s="11" t="n">
        <v>7</v>
      </c>
      <c r="B23" s="18" t="s">
        <v>440</v>
      </c>
      <c r="C23" s="4" t="n">
        <v>10</v>
      </c>
      <c r="D23" s="18" t="s">
        <v>441</v>
      </c>
      <c r="E23" s="18" t="s">
        <v>442</v>
      </c>
      <c r="F23" s="18" t="s">
        <v>443</v>
      </c>
      <c r="G23" s="20" t="s">
        <v>444</v>
      </c>
      <c r="H23" s="18" t="s">
        <v>445</v>
      </c>
    </row>
    <row r="24" customFormat="false" ht="15" hidden="false" customHeight="true" outlineLevel="0" collapsed="false">
      <c r="A24" s="16" t="s">
        <v>446</v>
      </c>
      <c r="B24" s="16"/>
      <c r="C24" s="40" t="n">
        <f aca="false">SUM(C17:C23)</f>
        <v>100</v>
      </c>
      <c r="D24" s="44" t="str">
        <f aca="false">IF(C24=100,"✔ 100점 만점","⚠ 배점 합계 확인")</f>
        <v>✔ 100점 만점</v>
      </c>
      <c r="E24" s="44"/>
      <c r="F24" s="44"/>
      <c r="G24" s="44"/>
      <c r="H24" s="44"/>
    </row>
    <row r="26" customFormat="false" ht="17.15" hidden="false" customHeight="true" outlineLevel="0" collapsed="false">
      <c r="A26" s="15" t="s">
        <v>447</v>
      </c>
      <c r="B26" s="15"/>
      <c r="C26" s="15"/>
      <c r="D26" s="15"/>
      <c r="E26" s="15"/>
      <c r="F26" s="15"/>
      <c r="G26" s="15"/>
      <c r="H26" s="15"/>
    </row>
    <row r="27" customFormat="false" ht="15" hidden="false" customHeight="true" outlineLevel="0" collapsed="false">
      <c r="A27" s="9"/>
      <c r="B27" s="9" t="s">
        <v>54</v>
      </c>
      <c r="C27" s="9" t="s">
        <v>448</v>
      </c>
      <c r="D27" s="9"/>
      <c r="E27" s="9" t="s">
        <v>449</v>
      </c>
      <c r="F27" s="9" t="s">
        <v>450</v>
      </c>
      <c r="G27" s="9" t="s">
        <v>451</v>
      </c>
      <c r="H27" s="9" t="s">
        <v>452</v>
      </c>
    </row>
    <row r="28" customFormat="false" ht="39.75" hidden="false" customHeight="true" outlineLevel="0" collapsed="false">
      <c r="A28" s="19"/>
      <c r="B28" s="4" t="s">
        <v>453</v>
      </c>
      <c r="C28" s="18" t="s">
        <v>454</v>
      </c>
      <c r="D28" s="18"/>
      <c r="E28" s="18" t="s">
        <v>455</v>
      </c>
      <c r="F28" s="18" t="s">
        <v>456</v>
      </c>
      <c r="G28" s="18" t="s">
        <v>457</v>
      </c>
      <c r="H28" s="18" t="s">
        <v>458</v>
      </c>
    </row>
    <row r="29" customFormat="false" ht="39.75" hidden="false" customHeight="true" outlineLevel="0" collapsed="false">
      <c r="A29" s="19"/>
      <c r="B29" s="4" t="s">
        <v>459</v>
      </c>
      <c r="C29" s="18" t="s">
        <v>460</v>
      </c>
      <c r="D29" s="18"/>
      <c r="E29" s="18" t="s">
        <v>461</v>
      </c>
      <c r="F29" s="17" t="s">
        <v>462</v>
      </c>
      <c r="G29" s="18" t="s">
        <v>463</v>
      </c>
      <c r="H29" s="18" t="s">
        <v>464</v>
      </c>
    </row>
    <row r="30" customFormat="false" ht="39.75" hidden="false" customHeight="true" outlineLevel="0" collapsed="false">
      <c r="A30" s="19"/>
      <c r="B30" s="20" t="s">
        <v>465</v>
      </c>
      <c r="C30" s="18" t="s">
        <v>466</v>
      </c>
      <c r="D30" s="18"/>
      <c r="E30" s="18" t="s">
        <v>467</v>
      </c>
      <c r="F30" s="18" t="s">
        <v>468</v>
      </c>
      <c r="G30" s="18" t="s">
        <v>469</v>
      </c>
      <c r="H30" s="18" t="s">
        <v>470</v>
      </c>
    </row>
    <row r="32" customFormat="false" ht="30" hidden="false" customHeight="true" outlineLevel="0" collapsed="false">
      <c r="A32" s="13" t="s">
        <v>471</v>
      </c>
      <c r="B32" s="13"/>
      <c r="C32" s="13"/>
      <c r="D32" s="13"/>
      <c r="E32" s="13"/>
      <c r="F32" s="13"/>
      <c r="G32" s="13"/>
      <c r="H32" s="13"/>
    </row>
  </sheetData>
  <mergeCells count="16">
    <mergeCell ref="A1:H1"/>
    <mergeCell ref="A2:H2"/>
    <mergeCell ref="A4:H4"/>
    <mergeCell ref="A11:B11"/>
    <mergeCell ref="E11:H11"/>
    <mergeCell ref="A13:C13"/>
    <mergeCell ref="E13:H13"/>
    <mergeCell ref="A15:H15"/>
    <mergeCell ref="A24:B24"/>
    <mergeCell ref="D24:H24"/>
    <mergeCell ref="A26:H26"/>
    <mergeCell ref="C27:D27"/>
    <mergeCell ref="C28:D28"/>
    <mergeCell ref="C29:D29"/>
    <mergeCell ref="C30:D30"/>
    <mergeCell ref="A32:H3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2"/>
  </cols>
  <sheetData>
    <row r="1" customFormat="false" ht="30" hidden="false" customHeight="true" outlineLevel="0" collapsed="false">
      <c r="A1" s="1" t="s">
        <v>472</v>
      </c>
      <c r="B1" s="1"/>
      <c r="C1" s="1"/>
      <c r="D1" s="1"/>
    </row>
    <row r="2" customFormat="false" ht="27.75" hidden="false" customHeight="true" outlineLevel="0" collapsed="false">
      <c r="A2" s="2" t="s">
        <v>473</v>
      </c>
      <c r="B2" s="2"/>
      <c r="C2" s="2"/>
      <c r="D2" s="2"/>
    </row>
    <row r="4" customFormat="false" ht="17.15" hidden="false" customHeight="true" outlineLevel="0" collapsed="false">
      <c r="A4" s="15" t="s">
        <v>474</v>
      </c>
      <c r="B4" s="15"/>
      <c r="C4" s="15"/>
      <c r="D4" s="15"/>
    </row>
    <row r="5" customFormat="false" ht="15" hidden="false" customHeight="false" outlineLevel="0" collapsed="false">
      <c r="A5" s="16" t="s">
        <v>475</v>
      </c>
      <c r="B5" s="5" t="str">
        <f aca="false">교과개요!B5</f>
        <v>AI 융합 파이썬 백엔드 개발자 양성과정 (예시)</v>
      </c>
      <c r="C5" s="16" t="s">
        <v>476</v>
      </c>
      <c r="D5" s="5" t="str">
        <f aca="false">교과개요!B6</f>
        <v>파이썬 프로그래밍 기초</v>
      </c>
    </row>
    <row r="6" customFormat="false" ht="15" hidden="false" customHeight="false" outlineLevel="0" collapsed="false">
      <c r="A6" s="16" t="s">
        <v>62</v>
      </c>
      <c r="B6" s="5" t="str">
        <f aca="false">교과개요!B7</f>
        <v>2026-10-05 ~ 2026-10-16 (2주, 10일)</v>
      </c>
      <c r="C6" s="16" t="s">
        <v>64</v>
      </c>
      <c r="D6" s="5" t="str">
        <f aca="false">교과개요!D7</f>
        <v>월~금 09:00 ~ 13:00 (1일 4시간)</v>
      </c>
    </row>
    <row r="7" customFormat="false" ht="15" hidden="false" customHeight="false" outlineLevel="0" collapsed="false">
      <c r="A7" s="16" t="s">
        <v>50</v>
      </c>
      <c r="B7" s="5" t="str">
        <f aca="false">교과개요!B8</f>
        <v>홍길동 (정보처리기사, 파이썬 실무 8년)</v>
      </c>
      <c r="C7" s="16" t="s">
        <v>68</v>
      </c>
      <c r="D7" s="5" t="str">
        <f aca="false">교과개요!D8</f>
        <v>김멘토 (실습 보조, 과제 피드백)</v>
      </c>
    </row>
    <row r="8" customFormat="false" ht="15" hidden="false" customHeight="false" outlineLevel="0" collapsed="false">
      <c r="A8" s="16" t="s">
        <v>477</v>
      </c>
      <c r="B8" s="5" t="str">
        <f aca="false">교과개요!B9</f>
        <v>본원 3층 실습실 A (PC 25대)</v>
      </c>
      <c r="C8" s="16" t="s">
        <v>74</v>
      </c>
      <c r="D8" s="5" t="str">
        <f aca="false">주차별계획!H25&amp;"시간 (이론 "&amp;주차별계획!F26&amp;"h / 실습 "&amp;주차별계획!G26&amp;"h)"</f>
        <v>40시간 (이론 12.5h / 실습 27.5h)</v>
      </c>
    </row>
    <row r="10" customFormat="false" ht="17.15" hidden="false" customHeight="true" outlineLevel="0" collapsed="false">
      <c r="A10" s="15" t="s">
        <v>478</v>
      </c>
      <c r="B10" s="15"/>
      <c r="C10" s="15"/>
      <c r="D10" s="15"/>
    </row>
    <row r="11" customFormat="false" ht="21.75" hidden="false" customHeight="true" outlineLevel="0" collapsed="false">
      <c r="A11" s="12" t="str">
        <f aca="false">교과개요!B19</f>
        <v>1) 변수·자료형·연산자·제어문·자료구조·함수를 활용하여 요구사항에 맞는 프로그램을 작성할 수 있다. (요소①)</v>
      </c>
      <c r="B11" s="12"/>
      <c r="C11" s="12"/>
      <c r="D11" s="12"/>
    </row>
    <row r="12" customFormat="false" ht="21.75" hidden="false" customHeight="true" outlineLevel="0" collapsed="false">
      <c r="A12" s="12" t="str">
        <f aca="false">교과개요!B20</f>
        <v>2) 모듈화, 예외처리, 객체지향(클래스·상속) 등 파이썬의 언어 특성을 적용하여 유지보수 가능한 코드를 작성할 수 있다. (요소②)</v>
      </c>
      <c r="B12" s="12"/>
      <c r="C12" s="12"/>
      <c r="D12" s="12"/>
    </row>
    <row r="13" customFormat="false" ht="21.75" hidden="false" customHeight="true" outlineLevel="0" collapsed="false">
      <c r="A13" s="12" t="str">
        <f aca="false">교과개요!B21</f>
        <v>3) 표준 라이브러리와 외부 패키지(pandas, matplotlib 등)를 검색·설치·활용하여 파일 및 데이터를 처리하고 시각화할 수 있다. (요소③)</v>
      </c>
      <c r="B13" s="12"/>
      <c r="C13" s="12"/>
      <c r="D13" s="12"/>
    </row>
    <row r="14" customFormat="false" ht="21.75" hidden="false" customHeight="true" outlineLevel="0" collapsed="false">
      <c r="A14" s="12" t="str">
        <f aca="false">교과개요!B22</f>
        <v>4) 팀 단위 미니 프로젝트를 기획·구현·발표하고 Git으로 산출물을 관리할 수 있다. (KDT 프로젝트 역량)</v>
      </c>
      <c r="B14" s="12"/>
      <c r="C14" s="12"/>
      <c r="D14" s="12"/>
    </row>
    <row r="16" customFormat="false" ht="17.15" hidden="false" customHeight="true" outlineLevel="0" collapsed="false">
      <c r="A16" s="15" t="s">
        <v>479</v>
      </c>
      <c r="B16" s="15"/>
      <c r="C16" s="15"/>
      <c r="D16" s="15"/>
    </row>
    <row r="17" customFormat="false" ht="15" hidden="false" customHeight="true" outlineLevel="0" collapsed="false">
      <c r="A17" s="16" t="s">
        <v>480</v>
      </c>
      <c r="B17" s="18" t="s">
        <v>481</v>
      </c>
      <c r="C17" s="18"/>
      <c r="D17" s="18"/>
    </row>
    <row r="18" customFormat="false" ht="15" hidden="false" customHeight="true" outlineLevel="0" collapsed="false">
      <c r="A18" s="16" t="s">
        <v>482</v>
      </c>
      <c r="B18" s="17" t="s">
        <v>483</v>
      </c>
      <c r="C18" s="17"/>
      <c r="D18" s="17"/>
    </row>
    <row r="19" customFormat="false" ht="15" hidden="false" customHeight="false" outlineLevel="0" collapsed="false">
      <c r="A19" s="16" t="s">
        <v>484</v>
      </c>
      <c r="B19" s="5" t="str">
        <f aca="false">교과개요!B29</f>
        <v>기관 LMS(과제 제출·출결), 슬랙 채널(질의응답, 공지)</v>
      </c>
      <c r="C19" s="5"/>
      <c r="D19" s="5"/>
    </row>
    <row r="21" customFormat="false" ht="17.15" hidden="false" customHeight="true" outlineLevel="0" collapsed="false">
      <c r="A21" s="15" t="s">
        <v>485</v>
      </c>
      <c r="B21" s="15"/>
      <c r="C21" s="15"/>
      <c r="D21" s="15"/>
    </row>
    <row r="22" customFormat="false" ht="15" hidden="false" customHeight="false" outlineLevel="0" collapsed="false">
      <c r="A22" s="9" t="s">
        <v>160</v>
      </c>
      <c r="B22" s="9" t="s">
        <v>486</v>
      </c>
      <c r="C22" s="9" t="s">
        <v>160</v>
      </c>
      <c r="D22" s="9" t="s">
        <v>487</v>
      </c>
    </row>
    <row r="23" customFormat="false" ht="15" hidden="false" customHeight="false" outlineLevel="0" collapsed="false">
      <c r="A23" s="45" t="s">
        <v>488</v>
      </c>
      <c r="B23" s="5" t="str">
        <f aca="false">주차별계획!B5&amp;"차시  "&amp;주차별계획!C5</f>
        <v>1차시  파이썬 개요·개발환경</v>
      </c>
      <c r="C23" s="45" t="s">
        <v>488</v>
      </c>
      <c r="D23" s="5" t="str">
        <f aca="false">주차별계획!B6&amp;"차시  "&amp;주차별계획!C6</f>
        <v>2차시  변수와 자료형</v>
      </c>
    </row>
    <row r="24" customFormat="false" ht="15" hidden="false" customHeight="false" outlineLevel="0" collapsed="false">
      <c r="A24" s="45" t="s">
        <v>489</v>
      </c>
      <c r="B24" s="5" t="str">
        <f aca="false">주차별계획!B7&amp;"차시  "&amp;주차별계획!C7</f>
        <v>3차시  문자열 처리</v>
      </c>
      <c r="C24" s="45" t="s">
        <v>489</v>
      </c>
      <c r="D24" s="5" t="str">
        <f aca="false">주차별계획!B8&amp;"차시  "&amp;주차별계획!C8</f>
        <v>4차시  조건문</v>
      </c>
    </row>
    <row r="25" customFormat="false" ht="15" hidden="false" customHeight="false" outlineLevel="0" collapsed="false">
      <c r="A25" s="45" t="s">
        <v>490</v>
      </c>
      <c r="B25" s="5" t="str">
        <f aca="false">주차별계획!B9&amp;"차시  "&amp;주차별계획!C9</f>
        <v>5차시  반복문</v>
      </c>
      <c r="C25" s="45" t="s">
        <v>490</v>
      </c>
      <c r="D25" s="5" t="str">
        <f aca="false">주차별계획!B10&amp;"차시  "&amp;주차별계획!C10</f>
        <v>6차시  리스트와 튜플</v>
      </c>
    </row>
    <row r="26" customFormat="false" ht="15" hidden="false" customHeight="false" outlineLevel="0" collapsed="false">
      <c r="A26" s="45" t="s">
        <v>491</v>
      </c>
      <c r="B26" s="5" t="str">
        <f aca="false">주차별계획!B11&amp;"차시  "&amp;주차별계획!C11</f>
        <v>7차시  딕셔너리와 집합</v>
      </c>
      <c r="C26" s="45" t="s">
        <v>491</v>
      </c>
      <c r="D26" s="5" t="str">
        <f aca="false">주차별계획!B12&amp;"차시  "&amp;주차별계획!C12</f>
        <v>8차시  함수 기초</v>
      </c>
    </row>
    <row r="27" customFormat="false" ht="15" hidden="false" customHeight="false" outlineLevel="0" collapsed="false">
      <c r="A27" s="45" t="s">
        <v>492</v>
      </c>
      <c r="B27" s="5" t="str">
        <f aca="false">주차별계획!B13&amp;"차시  "&amp;주차별계획!C13</f>
        <v>9차시  함수 심화</v>
      </c>
      <c r="C27" s="45" t="s">
        <v>492</v>
      </c>
      <c r="D27" s="5" t="str">
        <f aca="false">주차별계획!B14&amp;"차시  "&amp;주차별계획!C14</f>
        <v>10차시  모듈과 패키지</v>
      </c>
    </row>
    <row r="28" customFormat="false" ht="15" hidden="false" customHeight="false" outlineLevel="0" collapsed="false">
      <c r="A28" s="45" t="s">
        <v>493</v>
      </c>
      <c r="B28" s="5" t="str">
        <f aca="false">주차별계획!B15&amp;"차시  "&amp;주차별계획!C15</f>
        <v>11차시  예외 처리</v>
      </c>
      <c r="C28" s="45" t="s">
        <v>493</v>
      </c>
      <c r="D28" s="5" t="str">
        <f aca="false">주차별계획!B16&amp;"차시  "&amp;주차별계획!C16</f>
        <v>12차시  파일 입출력</v>
      </c>
    </row>
    <row r="29" customFormat="false" ht="15" hidden="false" customHeight="false" outlineLevel="0" collapsed="false">
      <c r="A29" s="45" t="s">
        <v>494</v>
      </c>
      <c r="B29" s="5" t="str">
        <f aca="false">주차별계획!B17&amp;"차시  "&amp;주차별계획!C17</f>
        <v>13차시  클래스와 객체</v>
      </c>
      <c r="C29" s="45" t="s">
        <v>494</v>
      </c>
      <c r="D29" s="5" t="str">
        <f aca="false">주차별계획!B18&amp;"차시  "&amp;주차별계획!C18</f>
        <v>14차시  상속과 다형성</v>
      </c>
    </row>
    <row r="30" customFormat="false" ht="15" hidden="false" customHeight="false" outlineLevel="0" collapsed="false">
      <c r="A30" s="45" t="s">
        <v>495</v>
      </c>
      <c r="B30" s="5" t="str">
        <f aca="false">주차별계획!B19&amp;"차시  "&amp;주차별계획!C19</f>
        <v>15차시  외부 라이브러리 활용</v>
      </c>
      <c r="C30" s="45" t="s">
        <v>495</v>
      </c>
      <c r="D30" s="5" t="str">
        <f aca="false">주차별계획!B20&amp;"차시  "&amp;주차별계획!C20</f>
        <v>16차시  데이터 처리(pandas 기초)</v>
      </c>
    </row>
    <row r="31" customFormat="false" ht="15" hidden="false" customHeight="false" outlineLevel="0" collapsed="false">
      <c r="A31" s="45" t="s">
        <v>496</v>
      </c>
      <c r="B31" s="5" t="str">
        <f aca="false">주차별계획!B21&amp;"차시  "&amp;주차별계획!C21</f>
        <v>17차시  데이터 시각화</v>
      </c>
      <c r="C31" s="45" t="s">
        <v>496</v>
      </c>
      <c r="D31" s="5" t="str">
        <f aca="false">주차별계획!B22&amp;"차시  "&amp;주차별계획!C22</f>
        <v>18차시  미니 프로젝트 기획·설계</v>
      </c>
    </row>
    <row r="32" customFormat="false" ht="15" hidden="false" customHeight="false" outlineLevel="0" collapsed="false">
      <c r="A32" s="45" t="s">
        <v>497</v>
      </c>
      <c r="B32" s="5" t="str">
        <f aca="false">주차별계획!B23&amp;"차시  "&amp;주차별계획!C23</f>
        <v>19차시  미니 프로젝트 구현</v>
      </c>
      <c r="C32" s="45" t="s">
        <v>497</v>
      </c>
      <c r="D32" s="5" t="str">
        <f aca="false">주차별계획!B24&amp;"차시  "&amp;주차별계획!C24</f>
        <v>20차시  프로젝트 발표 및 내부평가</v>
      </c>
    </row>
    <row r="34" customFormat="false" ht="17.15" hidden="false" customHeight="true" outlineLevel="0" collapsed="false">
      <c r="A34" s="15" t="s">
        <v>498</v>
      </c>
      <c r="B34" s="15"/>
      <c r="C34" s="15"/>
      <c r="D34" s="15"/>
    </row>
    <row r="35" customFormat="false" ht="27.75" hidden="false" customHeight="true" outlineLevel="0" collapsed="false">
      <c r="A35" s="16" t="s">
        <v>499</v>
      </c>
      <c r="B35" s="18" t="s">
        <v>500</v>
      </c>
      <c r="C35" s="18"/>
      <c r="D35" s="18"/>
    </row>
    <row r="36" customFormat="false" ht="27.75" hidden="false" customHeight="true" outlineLevel="0" collapsed="false">
      <c r="A36" s="16" t="s">
        <v>501</v>
      </c>
      <c r="B36" s="5" t="str">
        <f aca="false">교과개요!B32</f>
        <v>형성평가(퀴즈) 10% / 실습과제 30% / 지필평가 20% / 실무평가(프로젝트) 40%</v>
      </c>
      <c r="C36" s="5"/>
      <c r="D36" s="5"/>
    </row>
    <row r="37" customFormat="false" ht="15" hidden="false" customHeight="true" outlineLevel="0" collapsed="false">
      <c r="A37" s="16" t="s">
        <v>502</v>
      </c>
      <c r="B37" s="18" t="s">
        <v>503</v>
      </c>
      <c r="C37" s="18"/>
      <c r="D37" s="18"/>
    </row>
    <row r="38" customFormat="false" ht="27.75" hidden="false" customHeight="true" outlineLevel="0" collapsed="false">
      <c r="A38" s="16" t="s">
        <v>110</v>
      </c>
      <c r="B38" s="5" t="str">
        <f aca="false">교과개요!B33</f>
        <v>출석률 80% 이상(과정평가형: 능력단위별 75% 이상) + 모든 내부평가 참여 + 종합 60점 이상. 능력단위별 100점 환산 성적을 별도 산출</v>
      </c>
      <c r="C38" s="5"/>
      <c r="D38" s="5"/>
    </row>
    <row r="39" customFormat="false" ht="27.75" hidden="false" customHeight="true" outlineLevel="0" collapsed="false">
      <c r="A39" s="16" t="s">
        <v>504</v>
      </c>
      <c r="B39" s="18" t="s">
        <v>505</v>
      </c>
      <c r="C39" s="18"/>
      <c r="D39" s="18"/>
    </row>
    <row r="40" customFormat="false" ht="15" hidden="false" customHeight="true" outlineLevel="0" collapsed="false">
      <c r="A40" s="16" t="s">
        <v>506</v>
      </c>
      <c r="B40" s="18" t="s">
        <v>507</v>
      </c>
      <c r="C40" s="18"/>
      <c r="D40" s="18"/>
    </row>
    <row r="42" customFormat="false" ht="17.15" hidden="false" customHeight="true" outlineLevel="0" collapsed="false">
      <c r="A42" s="15" t="s">
        <v>508</v>
      </c>
      <c r="B42" s="15"/>
      <c r="C42" s="15"/>
      <c r="D42" s="15"/>
    </row>
    <row r="43" customFormat="false" ht="15" hidden="false" customHeight="false" outlineLevel="0" collapsed="false">
      <c r="A43" s="16" t="s">
        <v>509</v>
      </c>
      <c r="B43" s="18" t="s">
        <v>510</v>
      </c>
      <c r="C43" s="16" t="s">
        <v>511</v>
      </c>
      <c r="D43" s="18" t="s">
        <v>512</v>
      </c>
    </row>
  </sheetData>
  <mergeCells count="21">
    <mergeCell ref="A1:D1"/>
    <mergeCell ref="A2:D2"/>
    <mergeCell ref="A4:D4"/>
    <mergeCell ref="A10:D10"/>
    <mergeCell ref="A11:D11"/>
    <mergeCell ref="A12:D12"/>
    <mergeCell ref="A13:D13"/>
    <mergeCell ref="A14:D14"/>
    <mergeCell ref="A16:D16"/>
    <mergeCell ref="B17:D17"/>
    <mergeCell ref="B18:D18"/>
    <mergeCell ref="B19:D19"/>
    <mergeCell ref="A21:D21"/>
    <mergeCell ref="A34:D34"/>
    <mergeCell ref="B35:D35"/>
    <mergeCell ref="B36:D36"/>
    <mergeCell ref="B37:D37"/>
    <mergeCell ref="B38:D38"/>
    <mergeCell ref="B39:D39"/>
    <mergeCell ref="B40:D40"/>
    <mergeCell ref="A42:D42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2026-09-09T08:51:16Z</dcterms:created>
  <dc:creator>openpyxl</dc:creator>
  <dc:description/>
  <dc:language>en-US</dc:language>
  <cp:lastModifiedBy/>
  <dcterms:modified xsi:type="dcterms:W3CDTF">2026-09-09T08:51:16Z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